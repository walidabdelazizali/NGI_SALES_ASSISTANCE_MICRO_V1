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1" documentId="8_{BF637F55-34EE-42DF-8C3F-28AA43943C13}" xr6:coauthVersionLast="47" xr6:coauthVersionMax="47" xr10:uidLastSave="{360F7A93-06B7-4EBE-A8CA-807E7A269EEE}"/>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<sst xmlns="http://schemas.openxmlformats.org/spreadsheetml/2006/main" count="3733" uniqueCount="603">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</sst>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456</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5928</v>
      </c>
      <c r="L42" s="64">
        <v>0</v>
      </c>
      <c r="M42" s="52">
        <f t="shared" ref="M42:M51" ca="1" si="0">IFERROR(K42+(K42*R42),"")</f>
        <v>5928</v>
      </c>
      <c r="N42" s="52">
        <f>IFERROR(IF(E42&lt;&gt;"",(IF($D$36="Enhanced",(VLOOKUP((CONCATENATE($D$33," ",$D$34," ",$D$35)),'Premium working'!$T$4:$U$19,2,0)),0)),""),"")</f>
        <v>361</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6289</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7781</v>
      </c>
      <c r="L43" s="64">
        <v>0</v>
      </c>
      <c r="M43" s="52">
        <f t="shared" ca="1" si="0"/>
        <v>7781</v>
      </c>
      <c r="N43" s="52">
        <f>IFERROR(IF(E43&lt;&gt;"",(IF($D$36="Enhanced",(VLOOKUP((CONCATENATE($D$33," ",$D$34," ",$D$35)),'Premium working'!$T$4:$U$19,2,0)),0)),""),"")</f>
        <v>361</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8142</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3540</v>
      </c>
      <c r="L44" s="64">
        <v>0</v>
      </c>
      <c r="M44" s="52">
        <f t="shared" ca="1" si="0"/>
        <v>3540</v>
      </c>
      <c r="N44" s="52">
        <f>IFERROR(IF(E44&lt;&gt;"",(IF($D$36="Enhanced",(VLOOKUP((CONCATENATE($D$33," ",$D$34," ",$D$35)),'Premium working'!$T$4:$U$19,2,0)),0)),""),"")</f>
        <v>361</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3901</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3552</v>
      </c>
      <c r="L45" s="64">
        <v>0</v>
      </c>
      <c r="M45" s="52">
        <f t="shared" ca="1" si="0"/>
        <v>3552</v>
      </c>
      <c r="N45" s="52">
        <f>IFERROR(IF(E45&lt;&gt;"",(IF($D$36="Enhanced",(VLOOKUP((CONCATENATE($D$33," ",$D$34," ",$D$35)),'Premium working'!$T$4:$U$19,2,0)),0)),""),"")</f>
        <v>361</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3913</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22245</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250,000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6289</v>
      </c>
      <c r="I56" s="238" t="s">
        <v>0</v>
      </c>
      <c r="J56" s="239"/>
      <c r="K56" s="199" t="str">
        <f>'TOB '!D11</f>
        <v>HN Standard</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8142</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3901</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3913</v>
      </c>
      <c r="I59" s="238" t="s">
        <v>70</v>
      </c>
      <c r="J59" s="239"/>
      <c r="K59" s="244" t="str">
        <f>'TOB '!D27</f>
        <v xml:space="preserve">20% up to AED 50/-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100% Covered</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10,000 with Nil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2,000/-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22245</v>
      </c>
      <c r="I67" s="134"/>
      <c r="J67" s="134"/>
      <c r="K67" s="135"/>
      <c r="L67" s="135"/>
      <c r="M67" s="135"/>
      <c r="N67" s="135"/>
      <c r="O67" s="135"/>
      <c r="P67" s="135"/>
    </row>
    <row r="68" spans="1:16" s="55" customFormat="1" x14ac:dyDescent="0.3">
      <c r="A68" s="230" t="s">
        <v>120</v>
      </c>
      <c r="B68" s="231"/>
      <c r="C68" s="231"/>
      <c r="D68" s="231"/>
      <c r="E68" s="231"/>
      <c r="F68" s="159">
        <f ca="1">ROUND(F67*5%,2)</f>
        <v>1112.25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23458.05</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Classic Plan-3</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250,000</v>
      </c>
      <c r="E9" s="310"/>
      <c r="F9" s="310"/>
      <c r="G9" s="310"/>
      <c r="H9" s="311"/>
      <c r="J9" s="50" t="str">
        <f>D22</f>
        <v>Covered on Reimbursement up to AED 250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UAE+Home country</v>
      </c>
      <c r="E10" s="256"/>
      <c r="F10" s="256"/>
      <c r="G10" s="256"/>
      <c r="H10" s="257"/>
    </row>
    <row r="11" spans="1:10" ht="30.75" customHeight="1" x14ac:dyDescent="0.3">
      <c r="A11" s="285" t="s">
        <v>80</v>
      </c>
      <c r="B11" s="286"/>
      <c r="C11" s="286"/>
      <c r="D11" s="272" t="str">
        <f>VLOOKUP($D$7,'TOB IN PUT'!$A$2:$S$17,5,0)</f>
        <v>HN Standard</v>
      </c>
      <c r="E11" s="256"/>
      <c r="F11" s="256"/>
      <c r="G11" s="256"/>
      <c r="H11" s="257"/>
      <c r="J11" s="50" t="str">
        <f>D11</f>
        <v>HN Standard</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250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up to AED 150 / night</v>
      </c>
      <c r="E23" s="256"/>
      <c r="F23" s="256"/>
      <c r="G23" s="256"/>
      <c r="H23" s="257"/>
    </row>
    <row r="24" spans="1:10" ht="45.75" customHeight="1" x14ac:dyDescent="0.3">
      <c r="A24" s="275" t="s">
        <v>88</v>
      </c>
      <c r="B24" s="276"/>
      <c r="C24" s="276"/>
      <c r="D24" s="272" t="str">
        <f>VLOOKUP($D$7,'TOB IN PUT'!$A$2:$S$17,6,0)</f>
        <v>Covered up to AED 150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50/- </v>
      </c>
      <c r="E27" s="306"/>
      <c r="F27" s="306"/>
      <c r="G27" s="306"/>
      <c r="H27" s="307"/>
      <c r="J27" s="50">
        <f>F27</f>
        <v>0</v>
      </c>
    </row>
    <row r="28" spans="1:10" ht="24.75" customHeight="1" x14ac:dyDescent="0.3">
      <c r="A28" s="285" t="s">
        <v>92</v>
      </c>
      <c r="B28" s="286"/>
      <c r="C28" s="286"/>
      <c r="D28" s="272" t="str">
        <f>VLOOKUP($D$7,'TOB IN PUT'!$A$2:$S$17,10,0)</f>
        <v>100% Covered</v>
      </c>
      <c r="E28" s="256"/>
      <c r="F28" s="256"/>
      <c r="G28" s="256"/>
      <c r="H28" s="257"/>
      <c r="J28" s="50" t="str">
        <f>D28</f>
        <v>100% Covered</v>
      </c>
    </row>
    <row r="29" spans="1:10" ht="36" customHeight="1" x14ac:dyDescent="0.3">
      <c r="A29" s="275" t="s">
        <v>93</v>
      </c>
      <c r="B29" s="276"/>
      <c r="C29" s="276"/>
      <c r="D29" s="272" t="str">
        <f>VLOOKUP($D$7,'TOB IN PUT'!$A$2:$S$17,10,0)</f>
        <v>100% Covered</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10,000 with Nil Co Insurance
(Branded)</v>
      </c>
      <c r="E31" s="256"/>
      <c r="F31" s="256"/>
      <c r="G31" s="256"/>
      <c r="H31" s="257"/>
      <c r="J31" s="50" t="str">
        <f>D31</f>
        <v>Covered up to AED 10,000 with Nil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1,500/- with 20% Co Insurance</v>
      </c>
      <c r="E44" s="256"/>
      <c r="F44" s="256"/>
      <c r="G44" s="256"/>
      <c r="H44" s="257"/>
    </row>
    <row r="45" spans="1:8" ht="41.25" customHeight="1" x14ac:dyDescent="0.3">
      <c r="A45" s="275" t="s">
        <v>104</v>
      </c>
      <c r="B45" s="276"/>
      <c r="C45" s="276"/>
      <c r="D45" s="272" t="str">
        <f>VLOOKUP($D$7,'TOB IN PUT'!$A$2:$S$17,19,0)</f>
        <v>Covered up to AED 1,500/-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10,000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10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2,000/- with 20% Co Insurance</v>
      </c>
      <c r="E54" s="256"/>
      <c r="F54" s="256"/>
      <c r="G54" s="256"/>
      <c r="H54" s="257"/>
      <c r="J54" s="50" t="str">
        <f>D54</f>
        <v>Covered up to AED 2,000/-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v>
      </c>
      <c r="E56" s="256"/>
      <c r="F56" s="256"/>
      <c r="G56" s="256"/>
      <c r="H56" s="257"/>
    </row>
    <row r="57" spans="1:10" ht="142.5" customHeight="1" x14ac:dyDescent="0.3">
      <c r="A57" s="285" t="s">
        <v>108</v>
      </c>
      <c r="B57" s="286"/>
      <c r="C57" s="286"/>
      <c r="D57" s="272" t="str">
        <f>IF('Census List'!$D$35="Dubai",VLOOKUP($D$7,'TOB IN PUT'!A2:S11,15,0),VLOOKUP($D$7,'TOB IN PUT'!A12:S17,15,0))</f>
        <v>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