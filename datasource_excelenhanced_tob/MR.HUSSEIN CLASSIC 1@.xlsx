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filterPrivacy="1" codeName="ThisWorkbook" defaultThemeVersion="166925"/>
  <xr:revisionPtr revIDLastSave="2" documentId="8_{C4A1777B-0084-4997-B1E9-2F8B5338D359}" xr6:coauthVersionLast="47" xr6:coauthVersionMax="47" xr10:uidLastSave="{D09DE809-19F0-447A-B7DD-6E920B05A913}"/>
  <workbookProtection workbookAlgorithmName="SHA-512" workbookHashValue="JJEa9EmX7SUdY56Em0G3XgKFx1b04max81yeEAAH7y1Tnh5caixWFQjdzaz3OXmxBA/wqKJ2ZhPqu4DXo5lVCQ==" workbookSaltValue="AMrlciR4ChKXm/fJuC4hzw==" workbookSpinCount="100000" lockStructure="1"/>
  <bookViews>
    <workbookView xWindow="-108" yWindow="-108" windowWidth="23256" windowHeight="12456" tabRatio="927" firstSheet="1" activeTab="1" xr2:uid="{00000000-000D-0000-FFFF-FFFF00000000}"/>
  </bookViews>
  <sheets>
    <sheet name="Premium working" sheetId="25" state="hidden" r:id="rId1"/>
    <sheet name="Census List" sheetId="18" r:id="rId2"/>
    <sheet name="Age Band" sheetId="26" state="hidden" r:id="rId3"/>
    <sheet name="TOB " sheetId="31" r:id="rId4"/>
    <sheet name="HDF Review" sheetId="16" r:id="rId5"/>
    <sheet name="Exclusions " sheetId="38" r:id="rId6"/>
    <sheet name="TOB IN PUT" sheetId="36" state="hidden" r:id="rId7"/>
    <sheet name="Not Used" sheetId="39" state="hidden" r:id="rId8"/>
  </sheets>
  <externalReferences>
    <externalReference r:id="rId9"/>
    <externalReference r:id="rId10"/>
  </externalReferences>
  <definedNames>
    <definedName name="_xlnm._FilterDatabase" localSheetId="2" hidden="1">'Age Band'!$A$2:$H$103</definedName>
    <definedName name="_xlnm._FilterDatabase" localSheetId="1" hidden="1">'Census List'!$D$41:$J$47</definedName>
    <definedName name="_xlnm._FilterDatabase" localSheetId="0" hidden="1">'Premium working'!$B$5:$O$233</definedName>
    <definedName name="_xlnm._FilterDatabase" localSheetId="6" hidden="1">'TOB IN PUT'!$A$1:$S$17</definedName>
    <definedName name="_Hlk80188971" localSheetId="5">'Exclusions '!$B$5</definedName>
    <definedName name="_Hlk81725290" localSheetId="5">'Exclusions '!$B$1</definedName>
    <definedName name="CensusKnown">[1]Code!$C$9</definedName>
    <definedName name="Check0">[1]Code!$C$285</definedName>
    <definedName name="Check1">[1]Code!$C$286</definedName>
    <definedName name="Check10">[1]Code!$C$295</definedName>
    <definedName name="Check11">[1]Code!#REF!</definedName>
    <definedName name="Check2">[1]Code!$C$287</definedName>
    <definedName name="Check3">[1]Code!$C$288</definedName>
    <definedName name="Check4">[1]Code!$C$289</definedName>
    <definedName name="Check5">[1]Code!$C$290</definedName>
    <definedName name="Check6">[1]Code!$C$291</definedName>
    <definedName name="Check7">[1]Code!$C$292</definedName>
    <definedName name="Check8">[1]Code!$C$293</definedName>
    <definedName name="Check9">[1]Code!$C$294</definedName>
    <definedName name="CoIns10">[1]Code!$D$66</definedName>
    <definedName name="CoIns20">[1]Code!$D$67</definedName>
    <definedName name="CoInsDiscount">[1]Code!$D$155</definedName>
    <definedName name="CompLoad">[1]Code!$D$159</definedName>
    <definedName name="currency">[1]Code!$C$4</definedName>
    <definedName name="Data_SOS">[1]Data!$G$3</definedName>
    <definedName name="Dental">[1]Code!$D$98</definedName>
    <definedName name="DentalLimit">[1]Code!$C$100</definedName>
    <definedName name="eff_date">[2]Inputs!$C$17</definedName>
    <definedName name="end_date">[2]Inputs!$C$18</definedName>
    <definedName name="FlatLoad">[1]Code!$D$153</definedName>
    <definedName name="FlatTariff">[1]Code!$C$17</definedName>
    <definedName name="Individual">[1]Code!$C$7</definedName>
    <definedName name="InNo">[1]Code!$A$166</definedName>
    <definedName name="INonly">[1]Code!$C$43</definedName>
    <definedName name="INPlan">[1]Code!$C$13</definedName>
    <definedName name="InputIntSOS">[1]Code!$D$73</definedName>
    <definedName name="IntSOS">[1]Code!$C$74</definedName>
    <definedName name="Limit">[1]Code!$C$29</definedName>
    <definedName name="Limit_Factor">[1]Code!$D$144</definedName>
    <definedName name="LoadIN">[1]Code!$D$150</definedName>
    <definedName name="Loadings">[2]Inputs!$H$18</definedName>
    <definedName name="LoadInOnly">[1]Code!$D$148</definedName>
    <definedName name="LoadOUT">[1]Code!$D$151</definedName>
    <definedName name="MarriedGirlsRatio">[1]Code!$C$242</definedName>
    <definedName name="MarriedRatio">[1]Code!$C$241</definedName>
    <definedName name="Maternity">[1]Code!$D$79</definedName>
    <definedName name="NK">[1]Code!$C$182</definedName>
    <definedName name="NRP_dental">[1]Code!$C$170</definedName>
    <definedName name="NRP_optical">[1]Code!$C$171</definedName>
    <definedName name="optical">[1]Code!$D$116</definedName>
    <definedName name="OUTNo">[1]Code!$A$168</definedName>
    <definedName name="OUTPlan">[1]Code!$C$62</definedName>
    <definedName name="Plans_AUH">'[2]Inputs Mapping'!$A$12:$A$14</definedName>
    <definedName name="plans_dxb_new">'[2]Inputs Mapping'!$A$4:$A$8</definedName>
    <definedName name="_xlnm.Print_Area" localSheetId="1">'Census List'!$A$30:$P$84</definedName>
    <definedName name="_xlnm.Print_Area" localSheetId="3">'TOB '!$A$1:$H$65</definedName>
    <definedName name="SizeLoad">[1]Code!$D$146</definedName>
    <definedName name="SOAP10">[1]Code!$D$70</definedName>
    <definedName name="SOAP10Discount">[1]Code!$D$157</definedName>
    <definedName name="TotalMembers">[1]Code!$C$222</definedName>
    <definedName name="version">[1]Code!$D$1</definedName>
  </definedNames>
  <calcPr calcId="191029" fullPrecision="0"/>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4" i="31" l="1"/>
  <c r="D52" i="31"/>
  <c r="D51" i="31"/>
  <c r="D65" i="18"/>
  <c r="D64" i="18"/>
  <c r="D63" i="18"/>
  <c r="D62" i="18"/>
  <c r="D61" i="18"/>
  <c r="D60" i="18"/>
  <c r="D59" i="18"/>
  <c r="D58" i="18"/>
  <c r="D57" i="18"/>
  <c r="N51" i="18"/>
  <c r="N50" i="18"/>
  <c r="N49" i="18"/>
  <c r="N48" i="18"/>
  <c r="N47" i="18"/>
  <c r="N46" i="18"/>
  <c r="A57" i="18"/>
  <c r="A58" i="18"/>
  <c r="A59" i="18"/>
  <c r="A60" i="18"/>
  <c r="A61" i="18"/>
  <c r="A62" i="18"/>
  <c r="A63" i="18"/>
  <c r="A64" i="18"/>
  <c r="A65" i="18"/>
  <c r="M14" i="25"/>
  <c r="M13" i="25"/>
  <c r="M12" i="25"/>
  <c r="M11" i="25"/>
  <c r="M10" i="25"/>
  <c r="M9" i="25"/>
  <c r="M233" i="25"/>
  <c r="M232" i="25"/>
  <c r="M231" i="25"/>
  <c r="M230" i="25"/>
  <c r="M229" i="25"/>
  <c r="M228" i="25"/>
  <c r="M227" i="25"/>
  <c r="M226" i="25"/>
  <c r="M225" i="25"/>
  <c r="M224" i="25"/>
  <c r="M223" i="25"/>
  <c r="M222" i="25"/>
  <c r="M221" i="25"/>
  <c r="M220" i="25"/>
  <c r="M219" i="25"/>
  <c r="M218" i="25"/>
  <c r="M217" i="25"/>
  <c r="M216" i="25"/>
  <c r="M215" i="25"/>
  <c r="M214" i="25"/>
  <c r="M213" i="25"/>
  <c r="M212" i="25"/>
  <c r="M211" i="25"/>
  <c r="M210" i="25"/>
  <c r="M209" i="25"/>
  <c r="M208" i="25"/>
  <c r="M207" i="25"/>
  <c r="M206" i="25"/>
  <c r="M205" i="25"/>
  <c r="M204" i="25"/>
  <c r="M203" i="25"/>
  <c r="M202" i="25"/>
  <c r="M201" i="25"/>
  <c r="M200" i="25"/>
  <c r="M199" i="25"/>
  <c r="M198" i="25"/>
  <c r="M197" i="25"/>
  <c r="M196" i="25"/>
  <c r="M195" i="25"/>
  <c r="M194" i="25"/>
  <c r="M193" i="25"/>
  <c r="M192" i="25"/>
  <c r="M191" i="25"/>
  <c r="M190" i="25"/>
  <c r="M189" i="25"/>
  <c r="M188" i="25"/>
  <c r="M187" i="25"/>
  <c r="M186" i="25"/>
  <c r="M185" i="25"/>
  <c r="M184" i="25"/>
  <c r="M183" i="25"/>
  <c r="M182" i="25"/>
  <c r="M181" i="25"/>
  <c r="M180" i="25"/>
  <c r="M179" i="25"/>
  <c r="M178" i="25"/>
  <c r="M177" i="25"/>
  <c r="M176" i="25"/>
  <c r="M175" i="25"/>
  <c r="M174" i="25"/>
  <c r="M173" i="25"/>
  <c r="M172" i="25"/>
  <c r="M171" i="25"/>
  <c r="M170" i="25"/>
  <c r="M169" i="25"/>
  <c r="M168" i="25"/>
  <c r="M167" i="25"/>
  <c r="M166" i="25"/>
  <c r="M165" i="25"/>
  <c r="M164" i="25"/>
  <c r="M163" i="25"/>
  <c r="M162" i="25"/>
  <c r="M161" i="25"/>
  <c r="M160" i="25"/>
  <c r="M159" i="25"/>
  <c r="M158" i="25"/>
  <c r="M157" i="25"/>
  <c r="M156" i="25"/>
  <c r="M155" i="25"/>
  <c r="M154" i="25"/>
  <c r="M153" i="25"/>
  <c r="M152" i="25"/>
  <c r="M151" i="25"/>
  <c r="M150" i="25"/>
  <c r="M149" i="25"/>
  <c r="M148" i="25"/>
  <c r="M147" i="25"/>
  <c r="M146" i="25"/>
  <c r="M145" i="25"/>
  <c r="M144" i="25"/>
  <c r="M143" i="25"/>
  <c r="M142" i="25"/>
  <c r="M141" i="25"/>
  <c r="M140" i="25"/>
  <c r="M139" i="25"/>
  <c r="M138" i="25"/>
  <c r="M137" i="25"/>
  <c r="M136" i="25"/>
  <c r="M135" i="25"/>
  <c r="M134" i="25"/>
  <c r="M133" i="25"/>
  <c r="M132" i="25"/>
  <c r="M131" i="25"/>
  <c r="M130" i="25"/>
  <c r="M129" i="25"/>
  <c r="M128" i="25"/>
  <c r="M127" i="25"/>
  <c r="M126" i="25"/>
  <c r="M125" i="25"/>
  <c r="M124" i="25"/>
  <c r="M123" i="25"/>
  <c r="M122" i="25"/>
  <c r="M121" i="25"/>
  <c r="M120" i="25"/>
  <c r="M119" i="25"/>
  <c r="M118" i="25"/>
  <c r="M117" i="25"/>
  <c r="M116" i="25"/>
  <c r="M115" i="25"/>
  <c r="M114" i="25"/>
  <c r="M113" i="25"/>
  <c r="M112" i="25"/>
  <c r="M111" i="25"/>
  <c r="M110" i="25"/>
  <c r="M109" i="25"/>
  <c r="M108" i="25"/>
  <c r="M107" i="25"/>
  <c r="M106" i="25"/>
  <c r="M105" i="25"/>
  <c r="M104" i="25"/>
  <c r="M103" i="25"/>
  <c r="M102" i="25"/>
  <c r="M101" i="25"/>
  <c r="M100" i="25"/>
  <c r="M99" i="25"/>
  <c r="M98" i="25"/>
  <c r="M97" i="25"/>
  <c r="M96" i="25"/>
  <c r="M95" i="25"/>
  <c r="M94" i="25"/>
  <c r="M93" i="25"/>
  <c r="M92" i="25"/>
  <c r="M91" i="25"/>
  <c r="M90" i="25"/>
  <c r="M89" i="25"/>
  <c r="M88" i="25"/>
  <c r="M87" i="25"/>
  <c r="M86" i="25"/>
  <c r="M85" i="25"/>
  <c r="M84" i="25"/>
  <c r="M83" i="25"/>
  <c r="M82" i="25"/>
  <c r="M81" i="25"/>
  <c r="M80" i="25"/>
  <c r="M79" i="25"/>
  <c r="M78" i="25"/>
  <c r="M77" i="25"/>
  <c r="M76" i="25"/>
  <c r="M75" i="25"/>
  <c r="M74" i="25"/>
  <c r="M73" i="25"/>
  <c r="M72" i="25"/>
  <c r="M71" i="25"/>
  <c r="M70" i="25"/>
  <c r="M69" i="25"/>
  <c r="M68" i="25"/>
  <c r="M67" i="25"/>
  <c r="M66" i="25"/>
  <c r="M65" i="25"/>
  <c r="M64" i="25"/>
  <c r="M63" i="25"/>
  <c r="M62" i="25"/>
  <c r="M61" i="25"/>
  <c r="M60" i="25"/>
  <c r="M59" i="25"/>
  <c r="M58" i="25"/>
  <c r="M57" i="25"/>
  <c r="M56" i="25"/>
  <c r="M55" i="25"/>
  <c r="M54" i="25"/>
  <c r="M53" i="25"/>
  <c r="M52" i="25"/>
  <c r="M51" i="25"/>
  <c r="M50" i="25"/>
  <c r="M49" i="25"/>
  <c r="M48" i="25"/>
  <c r="M47" i="25"/>
  <c r="M46" i="25"/>
  <c r="M45" i="25"/>
  <c r="M44" i="25"/>
  <c r="M43" i="25"/>
  <c r="M42" i="25"/>
  <c r="M41" i="25"/>
  <c r="M40" i="25"/>
  <c r="M39" i="25"/>
  <c r="M38" i="25"/>
  <c r="M37" i="25"/>
  <c r="M36" i="25"/>
  <c r="M35" i="25"/>
  <c r="M34" i="25"/>
  <c r="M33" i="25"/>
  <c r="M32" i="25"/>
  <c r="M31" i="25"/>
  <c r="M30" i="25"/>
  <c r="M29" i="25"/>
  <c r="M28" i="25"/>
  <c r="M27" i="25"/>
  <c r="M26" i="25"/>
  <c r="M25" i="25"/>
  <c r="M24" i="25"/>
  <c r="M23" i="25"/>
  <c r="M22" i="25"/>
  <c r="M21" i="25"/>
  <c r="M20" i="25"/>
  <c r="M19" i="25"/>
  <c r="M18" i="25"/>
  <c r="M17" i="25"/>
  <c r="M16" i="25"/>
  <c r="M15" i="25"/>
  <c r="M8" i="25"/>
  <c r="M7" i="25"/>
  <c r="M6" i="25"/>
  <c r="K233" i="25"/>
  <c r="K232" i="25"/>
  <c r="K231" i="25"/>
  <c r="K230" i="25"/>
  <c r="K229" i="25"/>
  <c r="K228" i="25"/>
  <c r="K227" i="25"/>
  <c r="K226" i="25"/>
  <c r="K225" i="25"/>
  <c r="K224" i="25"/>
  <c r="K223" i="25"/>
  <c r="K222" i="25"/>
  <c r="K221" i="25"/>
  <c r="K220" i="25"/>
  <c r="K219" i="25"/>
  <c r="K218" i="25"/>
  <c r="K211" i="25"/>
  <c r="K210" i="25"/>
  <c r="K209" i="25"/>
  <c r="K208" i="25"/>
  <c r="K207" i="25"/>
  <c r="K206" i="25"/>
  <c r="K199" i="25"/>
  <c r="K198" i="25"/>
  <c r="K197" i="25"/>
  <c r="K196" i="25"/>
  <c r="K195" i="25"/>
  <c r="K194" i="25"/>
  <c r="K187" i="25"/>
  <c r="K186" i="25"/>
  <c r="K185" i="25"/>
  <c r="K184" i="25"/>
  <c r="K183" i="25"/>
  <c r="K182" i="25"/>
  <c r="K175" i="25"/>
  <c r="K174" i="25"/>
  <c r="K173" i="25"/>
  <c r="K172" i="25"/>
  <c r="K171" i="25"/>
  <c r="K170" i="25"/>
  <c r="K163" i="25"/>
  <c r="K162" i="25"/>
  <c r="K161" i="25"/>
  <c r="K160" i="25"/>
  <c r="K159" i="25"/>
  <c r="K158" i="25"/>
  <c r="K151" i="25"/>
  <c r="K150" i="25"/>
  <c r="K149" i="25"/>
  <c r="K148" i="25"/>
  <c r="K147" i="25"/>
  <c r="K146" i="25"/>
  <c r="K138" i="25"/>
  <c r="K137" i="25"/>
  <c r="K136" i="25"/>
  <c r="K135" i="25"/>
  <c r="K134" i="25"/>
  <c r="K133" i="25"/>
  <c r="K132" i="25"/>
  <c r="K124" i="25"/>
  <c r="K123" i="25"/>
  <c r="K122" i="25"/>
  <c r="K121" i="25"/>
  <c r="K120" i="25"/>
  <c r="K119" i="25"/>
  <c r="K118" i="25"/>
  <c r="K110" i="25"/>
  <c r="K109" i="25"/>
  <c r="K108" i="25"/>
  <c r="K107" i="25"/>
  <c r="K106" i="25"/>
  <c r="K105" i="25"/>
  <c r="K104" i="25"/>
  <c r="K96" i="25"/>
  <c r="K95" i="25"/>
  <c r="K94" i="25"/>
  <c r="K93" i="25"/>
  <c r="K92" i="25"/>
  <c r="K91" i="25"/>
  <c r="K90" i="25"/>
  <c r="K82" i="25"/>
  <c r="K81" i="25"/>
  <c r="K80" i="25"/>
  <c r="K79" i="25"/>
  <c r="K78" i="25"/>
  <c r="K77" i="25"/>
  <c r="K76" i="25"/>
  <c r="K68" i="25"/>
  <c r="K67" i="25"/>
  <c r="K66" i="25"/>
  <c r="K65" i="25"/>
  <c r="K64" i="25"/>
  <c r="K63" i="25"/>
  <c r="K62" i="25"/>
  <c r="K54" i="25"/>
  <c r="K53" i="25"/>
  <c r="K52" i="25"/>
  <c r="K51" i="25"/>
  <c r="K50" i="25"/>
  <c r="K49" i="25"/>
  <c r="K48" i="25"/>
  <c r="K40" i="25"/>
  <c r="K39" i="25"/>
  <c r="K38" i="25"/>
  <c r="K37" i="25"/>
  <c r="K36" i="25"/>
  <c r="K35" i="25"/>
  <c r="K34" i="25"/>
  <c r="K26" i="25"/>
  <c r="K25" i="25"/>
  <c r="K24" i="25"/>
  <c r="K23" i="25"/>
  <c r="K22" i="25"/>
  <c r="K21" i="25"/>
  <c r="K20" i="25"/>
  <c r="K12" i="25"/>
  <c r="K11" i="25"/>
  <c r="K10" i="25"/>
  <c r="K9" i="25"/>
  <c r="K8" i="25"/>
  <c r="K7" i="25"/>
  <c r="K6" i="25"/>
  <c r="K217" i="25"/>
  <c r="K216" i="25"/>
  <c r="K215" i="25"/>
  <c r="K214" i="25"/>
  <c r="K213" i="25"/>
  <c r="K212" i="25"/>
  <c r="K205" i="25"/>
  <c r="K204" i="25"/>
  <c r="K203" i="25"/>
  <c r="K202" i="25"/>
  <c r="K201" i="25"/>
  <c r="K200" i="25"/>
  <c r="K193" i="25"/>
  <c r="K192" i="25"/>
  <c r="K191" i="25"/>
  <c r="K190" i="25"/>
  <c r="K189" i="25"/>
  <c r="K188" i="25"/>
  <c r="K181" i="25"/>
  <c r="K180" i="25"/>
  <c r="K179" i="25"/>
  <c r="K178" i="25"/>
  <c r="K177" i="25"/>
  <c r="K176" i="25"/>
  <c r="K169" i="25"/>
  <c r="K168" i="25"/>
  <c r="K167" i="25"/>
  <c r="K166" i="25"/>
  <c r="K165" i="25"/>
  <c r="K164" i="25"/>
  <c r="K157" i="25"/>
  <c r="K156" i="25"/>
  <c r="K155" i="25"/>
  <c r="K154" i="25"/>
  <c r="K153" i="25"/>
  <c r="K152" i="25"/>
  <c r="K145" i="25"/>
  <c r="K144" i="25"/>
  <c r="K143" i="25"/>
  <c r="K142" i="25"/>
  <c r="K141" i="25"/>
  <c r="K140" i="25"/>
  <c r="K139" i="25"/>
  <c r="K131" i="25"/>
  <c r="K130" i="25"/>
  <c r="K129" i="25"/>
  <c r="K128" i="25"/>
  <c r="K127" i="25"/>
  <c r="K126" i="25"/>
  <c r="K125" i="25"/>
  <c r="K117" i="25"/>
  <c r="K116" i="25"/>
  <c r="K115" i="25"/>
  <c r="K114" i="25"/>
  <c r="K113" i="25"/>
  <c r="K112" i="25"/>
  <c r="K111" i="25"/>
  <c r="K103" i="25"/>
  <c r="K102" i="25"/>
  <c r="K101" i="25"/>
  <c r="K100" i="25"/>
  <c r="K99" i="25"/>
  <c r="K98" i="25"/>
  <c r="K97" i="25"/>
  <c r="K89" i="25"/>
  <c r="K88" i="25"/>
  <c r="K87" i="25"/>
  <c r="K86" i="25"/>
  <c r="K85" i="25"/>
  <c r="K84" i="25"/>
  <c r="K83" i="25"/>
  <c r="K75" i="25"/>
  <c r="K74" i="25"/>
  <c r="K73" i="25"/>
  <c r="K72" i="25"/>
  <c r="K71" i="25"/>
  <c r="K70" i="25"/>
  <c r="K69" i="25"/>
  <c r="K61" i="25"/>
  <c r="K60" i="25"/>
  <c r="K59" i="25"/>
  <c r="K58" i="25"/>
  <c r="K57" i="25"/>
  <c r="K56" i="25"/>
  <c r="K55" i="25"/>
  <c r="K47" i="25"/>
  <c r="K46" i="25"/>
  <c r="K45" i="25"/>
  <c r="K44" i="25"/>
  <c r="K43" i="25"/>
  <c r="K42" i="25"/>
  <c r="K41" i="25"/>
  <c r="K33" i="25"/>
  <c r="K32" i="25"/>
  <c r="K31" i="25"/>
  <c r="K30" i="25"/>
  <c r="K29" i="25"/>
  <c r="K28" i="25"/>
  <c r="K27" i="25"/>
  <c r="K19" i="25"/>
  <c r="K18" i="25"/>
  <c r="K17" i="25"/>
  <c r="K16" i="25"/>
  <c r="K15" i="25"/>
  <c r="K14" i="25"/>
  <c r="K13" i="25"/>
  <c r="J38" i="18"/>
  <c r="A54" i="31" l="1"/>
  <c r="H3" i="25" l="1"/>
  <c r="H4" i="25" s="1"/>
  <c r="Q218" i="25" s="1"/>
  <c r="R234" i="25" l="1"/>
  <c r="Q234" i="25"/>
  <c r="J215" i="25"/>
  <c r="J213" i="25"/>
  <c r="J209" i="25"/>
  <c r="J207" i="25"/>
  <c r="D36" i="31" l="1"/>
  <c r="D33" i="31"/>
  <c r="O217" i="25"/>
  <c r="O216" i="25"/>
  <c r="O215" i="25"/>
  <c r="O214" i="25"/>
  <c r="O213" i="25"/>
  <c r="O212" i="25"/>
  <c r="O211" i="25"/>
  <c r="O210" i="25"/>
  <c r="O209" i="25"/>
  <c r="O208" i="25"/>
  <c r="O207" i="25"/>
  <c r="O206" i="25"/>
  <c r="O205" i="25"/>
  <c r="O204" i="25"/>
  <c r="O203" i="25"/>
  <c r="O202" i="25"/>
  <c r="O201" i="25"/>
  <c r="O200" i="25"/>
  <c r="O199" i="25"/>
  <c r="O198" i="25"/>
  <c r="O197" i="25"/>
  <c r="O196" i="25"/>
  <c r="O195" i="25"/>
  <c r="O194" i="25"/>
  <c r="O193" i="25"/>
  <c r="O192" i="25"/>
  <c r="O191" i="25"/>
  <c r="O190" i="25"/>
  <c r="O189" i="25"/>
  <c r="O188" i="25"/>
  <c r="O187" i="25"/>
  <c r="O186" i="25"/>
  <c r="O185" i="25"/>
  <c r="O184" i="25"/>
  <c r="O183" i="25"/>
  <c r="O182" i="25"/>
  <c r="O181" i="25"/>
  <c r="O180" i="25"/>
  <c r="O179" i="25"/>
  <c r="O178" i="25"/>
  <c r="O177" i="25"/>
  <c r="O176" i="25"/>
  <c r="O175" i="25"/>
  <c r="O174" i="25"/>
  <c r="O173" i="25"/>
  <c r="O172" i="25"/>
  <c r="O171" i="25"/>
  <c r="O170" i="25"/>
  <c r="O169" i="25"/>
  <c r="O168" i="25"/>
  <c r="O167" i="25"/>
  <c r="O166" i="25"/>
  <c r="O165" i="25"/>
  <c r="O164" i="25"/>
  <c r="O163" i="25"/>
  <c r="O162" i="25"/>
  <c r="O161" i="25"/>
  <c r="O160" i="25"/>
  <c r="O159" i="25"/>
  <c r="O158" i="25"/>
  <c r="O157" i="25"/>
  <c r="O156" i="25"/>
  <c r="O155" i="25"/>
  <c r="O154" i="25"/>
  <c r="O153" i="25"/>
  <c r="O152" i="25"/>
  <c r="O151" i="25"/>
  <c r="O150" i="25"/>
  <c r="O149" i="25"/>
  <c r="O148" i="25"/>
  <c r="O147" i="25"/>
  <c r="O146" i="25"/>
  <c r="G70" i="26"/>
  <c r="G71" i="26" s="1"/>
  <c r="G72" i="26" s="1"/>
  <c r="G73" i="26" s="1"/>
  <c r="G74" i="26" s="1"/>
  <c r="G75" i="26" s="1"/>
  <c r="G76" i="26" s="1"/>
  <c r="G77" i="26" s="1"/>
  <c r="G78" i="26" s="1"/>
  <c r="G79" i="26" s="1"/>
  <c r="G80" i="26" s="1"/>
  <c r="G81" i="26" s="1"/>
  <c r="G82" i="26" s="1"/>
  <c r="G83" i="26" s="1"/>
  <c r="G84" i="26" s="1"/>
  <c r="G85" i="26" s="1"/>
  <c r="G86" i="26" s="1"/>
  <c r="G87" i="26" s="1"/>
  <c r="G88" i="26" s="1"/>
  <c r="G89" i="26" s="1"/>
  <c r="G90" i="26" s="1"/>
  <c r="G91" i="26" s="1"/>
  <c r="G92" i="26" s="1"/>
  <c r="G93" i="26" s="1"/>
  <c r="G94" i="26" s="1"/>
  <c r="G95" i="26" s="1"/>
  <c r="G96" i="26" s="1"/>
  <c r="G97" i="26" s="1"/>
  <c r="G98" i="26" s="1"/>
  <c r="G99" i="26" s="1"/>
  <c r="G100" i="26" s="1"/>
  <c r="G101" i="26" s="1"/>
  <c r="G102" i="26" s="1"/>
  <c r="G103" i="26" s="1"/>
  <c r="F28" i="18"/>
  <c r="D46" i="31" l="1"/>
  <c r="D40" i="31" l="1"/>
  <c r="D39" i="31"/>
  <c r="D50" i="31"/>
  <c r="D34" i="31" l="1"/>
  <c r="L20" i="18" l="1"/>
  <c r="P10" i="18"/>
  <c r="P12" i="18" s="1"/>
  <c r="H7" i="31" s="1"/>
  <c r="R219" i="25" l="1"/>
  <c r="G11" i="25"/>
  <c r="G218" i="25"/>
  <c r="G209" i="25"/>
  <c r="G208" i="25"/>
  <c r="G207" i="25"/>
  <c r="G206" i="25"/>
  <c r="F209" i="25"/>
  <c r="F208" i="25"/>
  <c r="F207" i="25"/>
  <c r="F206" i="25"/>
  <c r="F6" i="25"/>
  <c r="G205" i="25"/>
  <c r="F205" i="25"/>
  <c r="G204" i="25"/>
  <c r="F204" i="25"/>
  <c r="G203" i="25"/>
  <c r="F203" i="25"/>
  <c r="G202" i="25"/>
  <c r="F202" i="25"/>
  <c r="G201" i="25"/>
  <c r="F201" i="25"/>
  <c r="G200" i="25"/>
  <c r="F200" i="25"/>
  <c r="G199" i="25"/>
  <c r="F199" i="25"/>
  <c r="G198" i="25"/>
  <c r="F198" i="25"/>
  <c r="G197" i="25"/>
  <c r="F197" i="25"/>
  <c r="G196" i="25"/>
  <c r="F196" i="25"/>
  <c r="G195" i="25"/>
  <c r="F195" i="25"/>
  <c r="G194" i="25"/>
  <c r="F194" i="25"/>
  <c r="G193" i="25"/>
  <c r="F193" i="25"/>
  <c r="G192" i="25"/>
  <c r="F192" i="25"/>
  <c r="G191" i="25"/>
  <c r="F191" i="25"/>
  <c r="G190" i="25"/>
  <c r="F190" i="25"/>
  <c r="G189" i="25"/>
  <c r="F189" i="25"/>
  <c r="G188" i="25"/>
  <c r="F188" i="25"/>
  <c r="G187" i="25"/>
  <c r="F187" i="25"/>
  <c r="G186" i="25"/>
  <c r="F186" i="25"/>
  <c r="G185" i="25"/>
  <c r="F185" i="25"/>
  <c r="G184" i="25"/>
  <c r="F184" i="25"/>
  <c r="G183" i="25"/>
  <c r="F183" i="25"/>
  <c r="G182" i="25"/>
  <c r="F182" i="25"/>
  <c r="G181" i="25"/>
  <c r="F181" i="25"/>
  <c r="G180" i="25"/>
  <c r="F180" i="25"/>
  <c r="G179" i="25"/>
  <c r="F179" i="25"/>
  <c r="G178" i="25"/>
  <c r="F178" i="25"/>
  <c r="G177" i="25"/>
  <c r="F177" i="25"/>
  <c r="G176" i="25"/>
  <c r="F176" i="25"/>
  <c r="G175" i="25"/>
  <c r="F175" i="25"/>
  <c r="G174" i="25"/>
  <c r="F174" i="25"/>
  <c r="G173" i="25"/>
  <c r="F173" i="25"/>
  <c r="G172" i="25"/>
  <c r="F172" i="25"/>
  <c r="G171" i="25"/>
  <c r="F171" i="25"/>
  <c r="G170" i="25"/>
  <c r="F170" i="25"/>
  <c r="G169" i="25"/>
  <c r="F169" i="25"/>
  <c r="G168" i="25"/>
  <c r="F168" i="25"/>
  <c r="G167" i="25"/>
  <c r="F167" i="25"/>
  <c r="G166" i="25"/>
  <c r="F166" i="25"/>
  <c r="G165" i="25"/>
  <c r="F165" i="25"/>
  <c r="G164" i="25"/>
  <c r="F164" i="25"/>
  <c r="G163" i="25"/>
  <c r="F163" i="25"/>
  <c r="G162" i="25"/>
  <c r="F162" i="25"/>
  <c r="G161" i="25"/>
  <c r="F161" i="25"/>
  <c r="G160" i="25"/>
  <c r="F160" i="25"/>
  <c r="G159" i="25"/>
  <c r="F159" i="25"/>
  <c r="G158" i="25"/>
  <c r="F158" i="25"/>
  <c r="G157" i="25"/>
  <c r="G156" i="25"/>
  <c r="G153" i="25"/>
  <c r="F157" i="25"/>
  <c r="F156" i="25"/>
  <c r="F155" i="25"/>
  <c r="F153" i="25"/>
  <c r="D35" i="31" l="1"/>
  <c r="D42" i="31"/>
  <c r="D41" i="31"/>
  <c r="K65" i="18"/>
  <c r="D12" i="31"/>
  <c r="D7" i="31" l="1"/>
  <c r="D9" i="31" l="1"/>
  <c r="K55" i="18" s="1"/>
  <c r="D11" i="31"/>
  <c r="D27" i="31"/>
  <c r="K59" i="18" s="1"/>
  <c r="D31" i="31"/>
  <c r="K62" i="18" s="1"/>
  <c r="D58" i="31"/>
  <c r="D59" i="31"/>
  <c r="D57" i="31"/>
  <c r="D56" i="31"/>
  <c r="D30" i="31"/>
  <c r="K64" i="18" s="1"/>
  <c r="D48" i="31"/>
  <c r="D47" i="31"/>
  <c r="D45" i="31"/>
  <c r="D23" i="31"/>
  <c r="D22" i="31"/>
  <c r="D29" i="31"/>
  <c r="D28" i="31"/>
  <c r="K60" i="18" s="1"/>
  <c r="D24" i="31"/>
  <c r="D44" i="31"/>
  <c r="D10" i="31"/>
  <c r="F233" i="25" l="1"/>
  <c r="F232" i="25"/>
  <c r="F231" i="25"/>
  <c r="F230" i="25"/>
  <c r="F229" i="25"/>
  <c r="F228" i="25"/>
  <c r="F227" i="25"/>
  <c r="F226" i="25"/>
  <c r="F225" i="25"/>
  <c r="F224" i="25"/>
  <c r="F223" i="25"/>
  <c r="F222" i="25"/>
  <c r="F221" i="25"/>
  <c r="F220" i="25"/>
  <c r="F219" i="25"/>
  <c r="F218" i="25"/>
  <c r="I50" i="18"/>
  <c r="E64" i="18" s="1"/>
  <c r="T19" i="25"/>
  <c r="T18" i="25"/>
  <c r="T17" i="25"/>
  <c r="T16" i="25"/>
  <c r="T15" i="25"/>
  <c r="T14" i="25"/>
  <c r="T13" i="25"/>
  <c r="T12" i="25"/>
  <c r="T11" i="25"/>
  <c r="T10" i="25"/>
  <c r="T9" i="25"/>
  <c r="T8" i="25"/>
  <c r="T7" i="25"/>
  <c r="T6" i="25"/>
  <c r="T5" i="25"/>
  <c r="T4" i="25"/>
  <c r="F217" i="25"/>
  <c r="F216" i="25"/>
  <c r="F215" i="25"/>
  <c r="F214" i="25"/>
  <c r="F213" i="25"/>
  <c r="F212" i="25"/>
  <c r="F211" i="25"/>
  <c r="F210" i="25"/>
  <c r="F154" i="25"/>
  <c r="F152" i="25"/>
  <c r="F151" i="25"/>
  <c r="F150" i="25"/>
  <c r="F149" i="25"/>
  <c r="F148" i="25"/>
  <c r="F147" i="25"/>
  <c r="F146" i="25"/>
  <c r="F145" i="25"/>
  <c r="F144" i="25"/>
  <c r="F143" i="25"/>
  <c r="F142" i="25"/>
  <c r="F141" i="25"/>
  <c r="F140" i="25"/>
  <c r="F139" i="25"/>
  <c r="F138" i="25"/>
  <c r="F137" i="25"/>
  <c r="F136" i="25"/>
  <c r="F135" i="25"/>
  <c r="F134" i="25"/>
  <c r="F133" i="25"/>
  <c r="F132" i="25"/>
  <c r="F131" i="25"/>
  <c r="F130" i="25"/>
  <c r="F129" i="25"/>
  <c r="F128" i="25"/>
  <c r="F127" i="25"/>
  <c r="F126" i="25"/>
  <c r="F125" i="25"/>
  <c r="F124" i="25"/>
  <c r="F123" i="25"/>
  <c r="F122" i="25"/>
  <c r="F121" i="25"/>
  <c r="F120" i="25"/>
  <c r="F119" i="25"/>
  <c r="F118" i="25"/>
  <c r="F117" i="25"/>
  <c r="F116" i="25"/>
  <c r="F115" i="25"/>
  <c r="F114" i="25"/>
  <c r="F113" i="25"/>
  <c r="F112" i="25"/>
  <c r="F111" i="25"/>
  <c r="F110" i="25"/>
  <c r="F109" i="25"/>
  <c r="F108" i="25"/>
  <c r="F107" i="25"/>
  <c r="F106" i="25"/>
  <c r="F105" i="25"/>
  <c r="F104" i="25"/>
  <c r="F103" i="25"/>
  <c r="F102" i="25"/>
  <c r="F101" i="25"/>
  <c r="F100" i="25"/>
  <c r="F99" i="25"/>
  <c r="F98" i="25"/>
  <c r="F97" i="25"/>
  <c r="F96" i="25"/>
  <c r="F95" i="25"/>
  <c r="F94" i="25"/>
  <c r="F93" i="25"/>
  <c r="F92" i="25"/>
  <c r="F91" i="25"/>
  <c r="F90" i="25"/>
  <c r="F89" i="25"/>
  <c r="F88" i="25"/>
  <c r="F87" i="25"/>
  <c r="F86" i="25"/>
  <c r="F85" i="25"/>
  <c r="F84" i="25"/>
  <c r="F83" i="25"/>
  <c r="F82" i="25"/>
  <c r="F81" i="25"/>
  <c r="F80" i="25"/>
  <c r="F79" i="25"/>
  <c r="F78" i="25"/>
  <c r="F77" i="25"/>
  <c r="F76" i="25"/>
  <c r="F75" i="25"/>
  <c r="F74" i="25"/>
  <c r="F73" i="25"/>
  <c r="F72" i="25"/>
  <c r="F71" i="25"/>
  <c r="F70" i="25"/>
  <c r="F69" i="25"/>
  <c r="F68" i="25"/>
  <c r="F67" i="25"/>
  <c r="F66" i="25"/>
  <c r="F65" i="25"/>
  <c r="F64" i="25"/>
  <c r="F63" i="25"/>
  <c r="F62" i="25"/>
  <c r="F61" i="25"/>
  <c r="F60" i="25"/>
  <c r="F59" i="25"/>
  <c r="F58" i="25"/>
  <c r="F57" i="25"/>
  <c r="F56" i="25"/>
  <c r="F55" i="25"/>
  <c r="F54" i="25"/>
  <c r="F53" i="25"/>
  <c r="F52" i="25"/>
  <c r="F51" i="25"/>
  <c r="F50" i="25"/>
  <c r="F49" i="25"/>
  <c r="F48" i="25"/>
  <c r="F47" i="25"/>
  <c r="F46" i="25"/>
  <c r="F45" i="25"/>
  <c r="F44" i="25"/>
  <c r="F43" i="25"/>
  <c r="F42" i="25"/>
  <c r="F41" i="25"/>
  <c r="F40" i="25"/>
  <c r="F39" i="25"/>
  <c r="F38" i="25"/>
  <c r="F37" i="25"/>
  <c r="F36" i="25"/>
  <c r="F35" i="25"/>
  <c r="F34" i="25"/>
  <c r="F33" i="25"/>
  <c r="F32" i="25"/>
  <c r="F31" i="25"/>
  <c r="F30" i="25"/>
  <c r="F29" i="25"/>
  <c r="F28" i="25"/>
  <c r="F27" i="25"/>
  <c r="F26" i="25"/>
  <c r="F25" i="25"/>
  <c r="F24" i="25"/>
  <c r="F23" i="25"/>
  <c r="F22" i="25"/>
  <c r="F21" i="25"/>
  <c r="F20" i="25"/>
  <c r="F19" i="25"/>
  <c r="F18" i="25"/>
  <c r="F17" i="25"/>
  <c r="F16" i="25"/>
  <c r="F15" i="25"/>
  <c r="F14" i="25"/>
  <c r="F13" i="25"/>
  <c r="F12" i="25"/>
  <c r="F11" i="25"/>
  <c r="F10" i="25"/>
  <c r="F9" i="25"/>
  <c r="F8" i="25"/>
  <c r="F7" i="25"/>
  <c r="G6" i="25"/>
  <c r="G7" i="25"/>
  <c r="G8" i="25"/>
  <c r="G9" i="25"/>
  <c r="G10" i="25"/>
  <c r="G12" i="25"/>
  <c r="G13" i="25"/>
  <c r="G14" i="25"/>
  <c r="G15" i="25"/>
  <c r="G16" i="25"/>
  <c r="G17" i="25"/>
  <c r="G18" i="25"/>
  <c r="G19" i="25"/>
  <c r="G20" i="25"/>
  <c r="G21" i="25"/>
  <c r="G22" i="25"/>
  <c r="G23" i="25"/>
  <c r="G24" i="25"/>
  <c r="G25" i="25"/>
  <c r="G26" i="25"/>
  <c r="G27" i="25"/>
  <c r="G28" i="25"/>
  <c r="G29" i="25"/>
  <c r="G30" i="25"/>
  <c r="G31" i="25"/>
  <c r="G32" i="25"/>
  <c r="G33" i="25"/>
  <c r="G34" i="25"/>
  <c r="G35" i="25"/>
  <c r="G36" i="25"/>
  <c r="G37" i="25"/>
  <c r="G38" i="25"/>
  <c r="G39" i="25"/>
  <c r="G40" i="25"/>
  <c r="G41" i="25"/>
  <c r="G42" i="25"/>
  <c r="G43" i="25"/>
  <c r="G44" i="25"/>
  <c r="G45" i="25"/>
  <c r="G46" i="25"/>
  <c r="G47" i="25"/>
  <c r="G48" i="25"/>
  <c r="G49" i="25"/>
  <c r="G50" i="25"/>
  <c r="G51" i="25"/>
  <c r="G52" i="25"/>
  <c r="G53" i="25"/>
  <c r="G54" i="25"/>
  <c r="G55" i="25"/>
  <c r="G56" i="25"/>
  <c r="G57" i="25"/>
  <c r="G58" i="25"/>
  <c r="G59" i="25"/>
  <c r="G60" i="25"/>
  <c r="G61" i="25"/>
  <c r="G62" i="25"/>
  <c r="G63" i="25"/>
  <c r="G64" i="25"/>
  <c r="G65" i="25"/>
  <c r="G66" i="25"/>
  <c r="G67" i="25"/>
  <c r="G68" i="25"/>
  <c r="G69" i="25"/>
  <c r="G70" i="25"/>
  <c r="G71" i="25"/>
  <c r="G72" i="25"/>
  <c r="G73" i="25"/>
  <c r="G74" i="25"/>
  <c r="G75" i="25"/>
  <c r="G76" i="25"/>
  <c r="G77" i="25"/>
  <c r="G78" i="25"/>
  <c r="G79" i="25"/>
  <c r="G80" i="25"/>
  <c r="G81" i="25"/>
  <c r="G82" i="25"/>
  <c r="G83" i="25"/>
  <c r="G84" i="25"/>
  <c r="G85" i="25"/>
  <c r="G86" i="25"/>
  <c r="G87" i="25"/>
  <c r="G88" i="25"/>
  <c r="G89" i="25"/>
  <c r="G90" i="25"/>
  <c r="G91" i="25"/>
  <c r="G92" i="25"/>
  <c r="G93" i="25"/>
  <c r="G94" i="25"/>
  <c r="G95" i="25"/>
  <c r="G96" i="25"/>
  <c r="G97" i="25"/>
  <c r="G98" i="25"/>
  <c r="G99" i="25"/>
  <c r="G100" i="25"/>
  <c r="G101" i="25"/>
  <c r="G102" i="25"/>
  <c r="G103" i="25"/>
  <c r="G104" i="25"/>
  <c r="G105" i="25"/>
  <c r="G106" i="25"/>
  <c r="G107" i="25"/>
  <c r="G108" i="25"/>
  <c r="G109" i="25"/>
  <c r="G110" i="25"/>
  <c r="G111" i="25"/>
  <c r="G112" i="25"/>
  <c r="G113" i="25"/>
  <c r="G114" i="25"/>
  <c r="G115" i="25"/>
  <c r="G116" i="25"/>
  <c r="G117" i="25"/>
  <c r="G118" i="25"/>
  <c r="G119" i="25"/>
  <c r="G120" i="25"/>
  <c r="G121" i="25"/>
  <c r="G122" i="25"/>
  <c r="G123" i="25"/>
  <c r="G124" i="25"/>
  <c r="G125" i="25"/>
  <c r="G126" i="25"/>
  <c r="G127" i="25"/>
  <c r="G128" i="25"/>
  <c r="G129" i="25"/>
  <c r="G130" i="25"/>
  <c r="G131" i="25"/>
  <c r="G132" i="25"/>
  <c r="G133" i="25"/>
  <c r="G134" i="25"/>
  <c r="G135" i="25"/>
  <c r="G136" i="25"/>
  <c r="G137" i="25"/>
  <c r="G138" i="25"/>
  <c r="G139" i="25"/>
  <c r="G140" i="25"/>
  <c r="G141" i="25"/>
  <c r="G142" i="25"/>
  <c r="G143" i="25"/>
  <c r="G144" i="25"/>
  <c r="G145" i="25"/>
  <c r="G146" i="25"/>
  <c r="G147" i="25"/>
  <c r="G148" i="25"/>
  <c r="G149" i="25"/>
  <c r="G150" i="25"/>
  <c r="G151" i="25"/>
  <c r="G152" i="25"/>
  <c r="G154" i="25"/>
  <c r="G155" i="25"/>
  <c r="G210" i="25"/>
  <c r="G211" i="25"/>
  <c r="G212" i="25"/>
  <c r="G213" i="25"/>
  <c r="G214" i="25"/>
  <c r="G215" i="25"/>
  <c r="G216" i="25"/>
  <c r="G217" i="25"/>
  <c r="G220" i="25"/>
  <c r="G221" i="25"/>
  <c r="G222" i="25"/>
  <c r="G223" i="25"/>
  <c r="G224" i="25"/>
  <c r="G225" i="25"/>
  <c r="G226" i="25"/>
  <c r="G227" i="25"/>
  <c r="G228" i="25"/>
  <c r="G229" i="25"/>
  <c r="G230" i="25"/>
  <c r="G231" i="25"/>
  <c r="G232" i="25"/>
  <c r="G233" i="25"/>
  <c r="G219" i="25" l="1"/>
  <c r="E89" i="39"/>
  <c r="E88" i="39"/>
  <c r="E87" i="39"/>
  <c r="E86" i="39"/>
  <c r="E85" i="39"/>
  <c r="E84" i="39"/>
  <c r="E83" i="39"/>
  <c r="E82" i="39"/>
  <c r="E81" i="39"/>
  <c r="E80" i="39"/>
  <c r="E79" i="39"/>
  <c r="E78" i="39"/>
  <c r="E77" i="39"/>
  <c r="E76" i="39"/>
  <c r="E75" i="39"/>
  <c r="E74" i="39"/>
  <c r="E73" i="39"/>
  <c r="E72" i="39"/>
  <c r="E71" i="39"/>
  <c r="E70" i="39"/>
  <c r="E69" i="39"/>
  <c r="E68" i="39"/>
  <c r="E67" i="39"/>
  <c r="E66" i="39"/>
  <c r="E65" i="39"/>
  <c r="E64" i="39"/>
  <c r="E63" i="39"/>
  <c r="E62" i="39"/>
  <c r="E61" i="39"/>
  <c r="E60" i="39"/>
  <c r="E59" i="39"/>
  <c r="E58" i="39"/>
  <c r="E57" i="39"/>
  <c r="E56" i="39"/>
  <c r="E55"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3" i="39"/>
  <c r="E12" i="39"/>
  <c r="E11" i="39"/>
  <c r="E10" i="39"/>
  <c r="E9" i="39"/>
  <c r="E8" i="39"/>
  <c r="E7" i="39"/>
  <c r="E6" i="39"/>
  <c r="O89" i="39"/>
  <c r="O88" i="39"/>
  <c r="O87" i="39"/>
  <c r="O86" i="39"/>
  <c r="O85" i="39"/>
  <c r="O84" i="39"/>
  <c r="O83" i="39"/>
  <c r="O82" i="39"/>
  <c r="O81" i="39"/>
  <c r="O80" i="39"/>
  <c r="O79" i="39"/>
  <c r="O78" i="39"/>
  <c r="O77" i="39"/>
  <c r="O76" i="39"/>
  <c r="O75" i="39"/>
  <c r="O74" i="39"/>
  <c r="O73" i="39"/>
  <c r="O72" i="39"/>
  <c r="O71" i="39"/>
  <c r="O70" i="39"/>
  <c r="O69" i="39"/>
  <c r="O68" i="39"/>
  <c r="O67" i="39"/>
  <c r="O66" i="39"/>
  <c r="O65" i="39"/>
  <c r="O64" i="39"/>
  <c r="O63" i="39"/>
  <c r="O62" i="39"/>
  <c r="O61" i="39"/>
  <c r="O60" i="39"/>
  <c r="O59" i="39"/>
  <c r="O58" i="39"/>
  <c r="O57" i="39"/>
  <c r="O56" i="39"/>
  <c r="O55" i="39"/>
  <c r="O54" i="39"/>
  <c r="O53" i="39"/>
  <c r="O52" i="39"/>
  <c r="O51" i="39"/>
  <c r="O50" i="39"/>
  <c r="O49" i="39"/>
  <c r="O48" i="39"/>
  <c r="O47" i="39"/>
  <c r="O46" i="39"/>
  <c r="O45" i="39"/>
  <c r="O44" i="39"/>
  <c r="O43" i="39"/>
  <c r="O42" i="39"/>
  <c r="O41" i="39"/>
  <c r="O40" i="39"/>
  <c r="O39" i="39"/>
  <c r="O38" i="39"/>
  <c r="O37" i="39"/>
  <c r="O36" i="39"/>
  <c r="O35" i="39"/>
  <c r="O34" i="39"/>
  <c r="O33" i="39"/>
  <c r="O32" i="39"/>
  <c r="O31" i="39"/>
  <c r="O30" i="39"/>
  <c r="O29" i="39"/>
  <c r="O28" i="39"/>
  <c r="O27" i="39"/>
  <c r="O26" i="39"/>
  <c r="O25" i="39"/>
  <c r="O24" i="39"/>
  <c r="O23" i="39"/>
  <c r="O22" i="39"/>
  <c r="O21" i="39"/>
  <c r="O20" i="39"/>
  <c r="O19" i="39"/>
  <c r="O18" i="39"/>
  <c r="O17" i="39"/>
  <c r="O16" i="39"/>
  <c r="O15" i="39"/>
  <c r="O14" i="39"/>
  <c r="O13" i="39"/>
  <c r="O12" i="39"/>
  <c r="O11" i="39"/>
  <c r="O10" i="39"/>
  <c r="O9" i="39"/>
  <c r="O8" i="39"/>
  <c r="O7" i="39"/>
  <c r="O6" i="39"/>
  <c r="R89" i="39"/>
  <c r="Q89" i="39"/>
  <c r="P89" i="39"/>
  <c r="I89" i="39"/>
  <c r="R88" i="39"/>
  <c r="Q88" i="39"/>
  <c r="P88" i="39"/>
  <c r="I88" i="39"/>
  <c r="R87" i="39"/>
  <c r="Q87" i="39"/>
  <c r="P87" i="39"/>
  <c r="I87" i="39"/>
  <c r="R86" i="39"/>
  <c r="Q86" i="39"/>
  <c r="P86" i="39"/>
  <c r="I86" i="39"/>
  <c r="R85" i="39"/>
  <c r="Q85" i="39"/>
  <c r="P85" i="39"/>
  <c r="I85" i="39"/>
  <c r="R84" i="39"/>
  <c r="Q84" i="39"/>
  <c r="P84" i="39"/>
  <c r="I84" i="39"/>
  <c r="R83" i="39"/>
  <c r="Q83" i="39"/>
  <c r="P83" i="39"/>
  <c r="I83" i="39"/>
  <c r="R82" i="39"/>
  <c r="Q82" i="39"/>
  <c r="P82" i="39"/>
  <c r="I82" i="39"/>
  <c r="R81" i="39"/>
  <c r="Q81" i="39"/>
  <c r="P81" i="39"/>
  <c r="I81" i="39"/>
  <c r="R80" i="39"/>
  <c r="Q80" i="39"/>
  <c r="P80" i="39"/>
  <c r="I80" i="39"/>
  <c r="R79" i="39"/>
  <c r="Q79" i="39"/>
  <c r="P79" i="39"/>
  <c r="I79" i="39"/>
  <c r="R78" i="39"/>
  <c r="Q78" i="39"/>
  <c r="P78" i="39"/>
  <c r="I78" i="39"/>
  <c r="R77" i="39"/>
  <c r="Q77" i="39"/>
  <c r="P77" i="39"/>
  <c r="I77" i="39"/>
  <c r="R76" i="39"/>
  <c r="Q76" i="39"/>
  <c r="P76" i="39"/>
  <c r="I76" i="39"/>
  <c r="R75" i="39"/>
  <c r="Q75" i="39"/>
  <c r="P75" i="39"/>
  <c r="I75" i="39"/>
  <c r="R74" i="39"/>
  <c r="Q74" i="39"/>
  <c r="P74" i="39"/>
  <c r="I74" i="39"/>
  <c r="R73" i="39"/>
  <c r="Q73" i="39"/>
  <c r="P73" i="39"/>
  <c r="I73" i="39"/>
  <c r="R72" i="39"/>
  <c r="Q72" i="39"/>
  <c r="P72" i="39"/>
  <c r="I72" i="39"/>
  <c r="R71" i="39"/>
  <c r="Q71" i="39"/>
  <c r="P71" i="39"/>
  <c r="I71" i="39"/>
  <c r="R70" i="39"/>
  <c r="Q70" i="39"/>
  <c r="P70" i="39"/>
  <c r="I70" i="39"/>
  <c r="R69" i="39"/>
  <c r="Q69" i="39"/>
  <c r="P69" i="39"/>
  <c r="I69" i="39"/>
  <c r="R68" i="39"/>
  <c r="Q68" i="39"/>
  <c r="P68" i="39"/>
  <c r="I68" i="39"/>
  <c r="R67" i="39"/>
  <c r="Q67" i="39"/>
  <c r="P67" i="39"/>
  <c r="I67" i="39"/>
  <c r="R66" i="39"/>
  <c r="Q66" i="39"/>
  <c r="P66" i="39"/>
  <c r="I66" i="39"/>
  <c r="R65" i="39"/>
  <c r="Q65" i="39"/>
  <c r="P65" i="39"/>
  <c r="I65" i="39"/>
  <c r="R64" i="39"/>
  <c r="Q64" i="39"/>
  <c r="P64" i="39"/>
  <c r="I64" i="39"/>
  <c r="R63" i="39"/>
  <c r="Q63" i="39"/>
  <c r="P63" i="39"/>
  <c r="I63" i="39"/>
  <c r="R62" i="39"/>
  <c r="Q62" i="39"/>
  <c r="P62" i="39"/>
  <c r="I62" i="39"/>
  <c r="R61" i="39"/>
  <c r="Q61" i="39"/>
  <c r="P61" i="39"/>
  <c r="I61" i="39"/>
  <c r="R60" i="39"/>
  <c r="Q60" i="39"/>
  <c r="P60" i="39"/>
  <c r="I60" i="39"/>
  <c r="R59" i="39"/>
  <c r="Q59" i="39"/>
  <c r="P59" i="39"/>
  <c r="I59" i="39"/>
  <c r="R58" i="39"/>
  <c r="Q58" i="39"/>
  <c r="P58" i="39"/>
  <c r="I58" i="39"/>
  <c r="R57" i="39"/>
  <c r="Q57" i="39"/>
  <c r="P57" i="39"/>
  <c r="I57" i="39"/>
  <c r="R56" i="39"/>
  <c r="Q56" i="39"/>
  <c r="P56" i="39"/>
  <c r="I56" i="39"/>
  <c r="R55" i="39"/>
  <c r="Q55" i="39"/>
  <c r="P55" i="39"/>
  <c r="I55" i="39"/>
  <c r="R54" i="39"/>
  <c r="Q54" i="39"/>
  <c r="P54" i="39"/>
  <c r="I54" i="39"/>
  <c r="R53" i="39"/>
  <c r="Q53" i="39"/>
  <c r="P53" i="39"/>
  <c r="I53" i="39"/>
  <c r="R52" i="39"/>
  <c r="Q52" i="39"/>
  <c r="P52" i="39"/>
  <c r="I52" i="39"/>
  <c r="R51" i="39"/>
  <c r="Q51" i="39"/>
  <c r="P51" i="39"/>
  <c r="I51" i="39"/>
  <c r="R50" i="39"/>
  <c r="Q50" i="39"/>
  <c r="P50" i="39"/>
  <c r="I50" i="39"/>
  <c r="R49" i="39"/>
  <c r="Q49" i="39"/>
  <c r="P49" i="39"/>
  <c r="I49" i="39"/>
  <c r="R48" i="39"/>
  <c r="Q48" i="39"/>
  <c r="P48" i="39"/>
  <c r="I48" i="39"/>
  <c r="H47" i="39"/>
  <c r="R47" i="39" s="1"/>
  <c r="G47" i="39"/>
  <c r="Q47" i="39" s="1"/>
  <c r="F47" i="39"/>
  <c r="P47" i="39" s="1"/>
  <c r="S47" i="39" s="1"/>
  <c r="H46" i="39"/>
  <c r="R46" i="39" s="1"/>
  <c r="G46" i="39"/>
  <c r="Q46" i="39" s="1"/>
  <c r="F46" i="39"/>
  <c r="P46" i="39" s="1"/>
  <c r="S46" i="39" s="1"/>
  <c r="H45" i="39"/>
  <c r="R45" i="39" s="1"/>
  <c r="G45" i="39"/>
  <c r="Q45" i="39" s="1"/>
  <c r="F45" i="39"/>
  <c r="P45" i="39" s="1"/>
  <c r="S45" i="39" s="1"/>
  <c r="H44" i="39"/>
  <c r="R44" i="39" s="1"/>
  <c r="G44" i="39"/>
  <c r="Q44" i="39" s="1"/>
  <c r="F44" i="39"/>
  <c r="P44" i="39" s="1"/>
  <c r="S44" i="39" s="1"/>
  <c r="H43" i="39"/>
  <c r="R43" i="39" s="1"/>
  <c r="G43" i="39"/>
  <c r="Q43" i="39" s="1"/>
  <c r="F43" i="39"/>
  <c r="P43" i="39" s="1"/>
  <c r="S43" i="39" s="1"/>
  <c r="H42" i="39"/>
  <c r="R42" i="39" s="1"/>
  <c r="G42" i="39"/>
  <c r="Q42" i="39" s="1"/>
  <c r="F42" i="39"/>
  <c r="P42" i="39" s="1"/>
  <c r="S42" i="39" s="1"/>
  <c r="H41" i="39"/>
  <c r="R41" i="39" s="1"/>
  <c r="G41" i="39"/>
  <c r="Q41" i="39" s="1"/>
  <c r="F41" i="39"/>
  <c r="P41" i="39" s="1"/>
  <c r="S41" i="39" s="1"/>
  <c r="H40" i="39"/>
  <c r="R40" i="39" s="1"/>
  <c r="G40" i="39"/>
  <c r="Q40" i="39" s="1"/>
  <c r="F40" i="39"/>
  <c r="P40" i="39" s="1"/>
  <c r="S40" i="39" s="1"/>
  <c r="H39" i="39"/>
  <c r="R39" i="39" s="1"/>
  <c r="G39" i="39"/>
  <c r="Q39" i="39" s="1"/>
  <c r="F39" i="39"/>
  <c r="P39" i="39" s="1"/>
  <c r="S39" i="39" s="1"/>
  <c r="H38" i="39"/>
  <c r="R38" i="39" s="1"/>
  <c r="G38" i="39"/>
  <c r="Q38" i="39" s="1"/>
  <c r="F38" i="39"/>
  <c r="P38" i="39" s="1"/>
  <c r="S38" i="39" s="1"/>
  <c r="H37" i="39"/>
  <c r="R37" i="39" s="1"/>
  <c r="G37" i="39"/>
  <c r="Q37" i="39" s="1"/>
  <c r="F37" i="39"/>
  <c r="P37" i="39" s="1"/>
  <c r="S37" i="39" s="1"/>
  <c r="H36" i="39"/>
  <c r="R36" i="39" s="1"/>
  <c r="G36" i="39"/>
  <c r="Q36" i="39" s="1"/>
  <c r="F36" i="39"/>
  <c r="P36" i="39" s="1"/>
  <c r="S36" i="39" s="1"/>
  <c r="H35" i="39"/>
  <c r="R35" i="39" s="1"/>
  <c r="G35" i="39"/>
  <c r="Q35" i="39" s="1"/>
  <c r="F35" i="39"/>
  <c r="P35" i="39" s="1"/>
  <c r="S35" i="39" s="1"/>
  <c r="H34" i="39"/>
  <c r="R34" i="39" s="1"/>
  <c r="G34" i="39"/>
  <c r="Q34" i="39" s="1"/>
  <c r="F34" i="39"/>
  <c r="P34" i="39" s="1"/>
  <c r="S34" i="39" s="1"/>
  <c r="R33" i="39"/>
  <c r="Q33" i="39"/>
  <c r="P33" i="39"/>
  <c r="I33" i="39"/>
  <c r="R32" i="39"/>
  <c r="Q32" i="39"/>
  <c r="P32" i="39"/>
  <c r="I32" i="39"/>
  <c r="R31" i="39"/>
  <c r="Q31" i="39"/>
  <c r="P31" i="39"/>
  <c r="I31" i="39"/>
  <c r="R30" i="39"/>
  <c r="Q30" i="39"/>
  <c r="P30" i="39"/>
  <c r="I30" i="39"/>
  <c r="R29" i="39"/>
  <c r="Q29" i="39"/>
  <c r="P29" i="39"/>
  <c r="I29" i="39"/>
  <c r="R28" i="39"/>
  <c r="Q28" i="39"/>
  <c r="P28" i="39"/>
  <c r="I28" i="39"/>
  <c r="R27" i="39"/>
  <c r="P27" i="39"/>
  <c r="S27" i="39" s="1"/>
  <c r="I27" i="39"/>
  <c r="R26" i="39"/>
  <c r="Q26" i="39"/>
  <c r="P26" i="39"/>
  <c r="I26" i="39"/>
  <c r="R25" i="39"/>
  <c r="Q25" i="39"/>
  <c r="P25" i="39"/>
  <c r="I25" i="39"/>
  <c r="R24" i="39"/>
  <c r="Q24" i="39"/>
  <c r="P24" i="39"/>
  <c r="I24" i="39"/>
  <c r="R23" i="39"/>
  <c r="Q23" i="39"/>
  <c r="P23" i="39"/>
  <c r="I23" i="39"/>
  <c r="R22" i="39"/>
  <c r="Q22" i="39"/>
  <c r="P22" i="39"/>
  <c r="I22" i="39"/>
  <c r="R21" i="39"/>
  <c r="Q21" i="39"/>
  <c r="P21" i="39"/>
  <c r="I21" i="39"/>
  <c r="R20" i="39"/>
  <c r="Q20" i="39"/>
  <c r="P20" i="39"/>
  <c r="I20" i="39"/>
  <c r="H19" i="39"/>
  <c r="R19" i="39" s="1"/>
  <c r="G19" i="39"/>
  <c r="Q19" i="39" s="1"/>
  <c r="F19" i="39"/>
  <c r="P19" i="39" s="1"/>
  <c r="H18" i="39"/>
  <c r="R18" i="39" s="1"/>
  <c r="G18" i="39"/>
  <c r="Q18" i="39" s="1"/>
  <c r="F18" i="39"/>
  <c r="P18" i="39" s="1"/>
  <c r="H17" i="39"/>
  <c r="R17" i="39" s="1"/>
  <c r="G17" i="39"/>
  <c r="Q17" i="39" s="1"/>
  <c r="F17" i="39"/>
  <c r="P17" i="39" s="1"/>
  <c r="H16" i="39"/>
  <c r="R16" i="39" s="1"/>
  <c r="G16" i="39"/>
  <c r="Q16" i="39" s="1"/>
  <c r="F16" i="39"/>
  <c r="P16" i="39" s="1"/>
  <c r="H15" i="39"/>
  <c r="R15" i="39" s="1"/>
  <c r="G15" i="39"/>
  <c r="Q15" i="39" s="1"/>
  <c r="F15" i="39"/>
  <c r="P15" i="39" s="1"/>
  <c r="H14" i="39"/>
  <c r="R14" i="39" s="1"/>
  <c r="G14" i="39"/>
  <c r="Q14" i="39" s="1"/>
  <c r="F14" i="39"/>
  <c r="P14" i="39" s="1"/>
  <c r="H13" i="39"/>
  <c r="R13" i="39" s="1"/>
  <c r="G13" i="39"/>
  <c r="Q13" i="39" s="1"/>
  <c r="F13" i="39"/>
  <c r="I13" i="39" s="1"/>
  <c r="H12" i="39"/>
  <c r="R12" i="39" s="1"/>
  <c r="G12" i="39"/>
  <c r="Q12" i="39" s="1"/>
  <c r="F12" i="39"/>
  <c r="P12" i="39" s="1"/>
  <c r="H11" i="39"/>
  <c r="R11" i="39" s="1"/>
  <c r="G11" i="39"/>
  <c r="Q11" i="39" s="1"/>
  <c r="F11" i="39"/>
  <c r="P11" i="39" s="1"/>
  <c r="H10" i="39"/>
  <c r="R10" i="39" s="1"/>
  <c r="G10" i="39"/>
  <c r="Q10" i="39" s="1"/>
  <c r="F10" i="39"/>
  <c r="H9" i="39"/>
  <c r="R9" i="39" s="1"/>
  <c r="G9" i="39"/>
  <c r="F9" i="39"/>
  <c r="P9" i="39" s="1"/>
  <c r="H8" i="39"/>
  <c r="R8" i="39" s="1"/>
  <c r="G8" i="39"/>
  <c r="Q8" i="39" s="1"/>
  <c r="F8" i="39"/>
  <c r="P8" i="39" s="1"/>
  <c r="H7" i="39"/>
  <c r="R7" i="39" s="1"/>
  <c r="G7" i="39"/>
  <c r="Q7" i="39" s="1"/>
  <c r="F7" i="39"/>
  <c r="P7" i="39" s="1"/>
  <c r="H6" i="39"/>
  <c r="R6" i="39" s="1"/>
  <c r="G6" i="39"/>
  <c r="Q6" i="39" s="1"/>
  <c r="F6" i="39"/>
  <c r="P6" i="39" s="1"/>
  <c r="AA43" i="25"/>
  <c r="AB45" i="25"/>
  <c r="S28" i="39" l="1"/>
  <c r="I10" i="39"/>
  <c r="S30" i="39"/>
  <c r="S14" i="39"/>
  <c r="S15" i="39"/>
  <c r="S26" i="39"/>
  <c r="I19" i="39"/>
  <c r="S53" i="39"/>
  <c r="S55" i="39"/>
  <c r="S59" i="39"/>
  <c r="S66" i="39"/>
  <c r="S21" i="39"/>
  <c r="S23" i="39"/>
  <c r="S25" i="39"/>
  <c r="S87" i="39"/>
  <c r="P13" i="39"/>
  <c r="S13" i="39" s="1"/>
  <c r="S61" i="39"/>
  <c r="S67" i="39"/>
  <c r="S71" i="39"/>
  <c r="S75" i="39"/>
  <c r="S50" i="39"/>
  <c r="S56" i="39"/>
  <c r="S58" i="39"/>
  <c r="S60" i="39"/>
  <c r="S12" i="39"/>
  <c r="S68" i="39"/>
  <c r="S70" i="39"/>
  <c r="S72" i="39"/>
  <c r="S74" i="39"/>
  <c r="S78" i="39"/>
  <c r="S84" i="39"/>
  <c r="I7" i="39"/>
  <c r="I9" i="39"/>
  <c r="I16" i="39"/>
  <c r="I18" i="39"/>
  <c r="S63" i="39"/>
  <c r="I11" i="39"/>
  <c r="S20" i="39"/>
  <c r="S79" i="39"/>
  <c r="S81" i="39"/>
  <c r="S83" i="39"/>
  <c r="S6" i="39"/>
  <c r="I8" i="39"/>
  <c r="S17" i="39"/>
  <c r="S89" i="39"/>
  <c r="S52" i="39"/>
  <c r="I12" i="39"/>
  <c r="S64" i="39"/>
  <c r="S7" i="39"/>
  <c r="S8" i="39"/>
  <c r="S18" i="39"/>
  <c r="S11" i="39"/>
  <c r="S19" i="39"/>
  <c r="S31" i="39"/>
  <c r="S33" i="39"/>
  <c r="S76" i="39"/>
  <c r="S82" i="39"/>
  <c r="S86" i="39"/>
  <c r="S16" i="39"/>
  <c r="Q9" i="39"/>
  <c r="S9" i="39" s="1"/>
  <c r="S32" i="39"/>
  <c r="S57" i="39"/>
  <c r="S77" i="39"/>
  <c r="S88" i="39"/>
  <c r="S48" i="39"/>
  <c r="S29" i="39"/>
  <c r="S54" i="39"/>
  <c r="S65" i="39"/>
  <c r="S85" i="39"/>
  <c r="I17" i="39"/>
  <c r="I6" i="39"/>
  <c r="P10" i="39"/>
  <c r="S10" i="39" s="1"/>
  <c r="S22" i="39"/>
  <c r="S49" i="39"/>
  <c r="S69" i="39"/>
  <c r="S80" i="39"/>
  <c r="S24" i="39"/>
  <c r="S51" i="39"/>
  <c r="S62" i="39"/>
  <c r="S73" i="39"/>
  <c r="I34" i="39"/>
  <c r="I35" i="39"/>
  <c r="I36" i="39"/>
  <c r="I37" i="39"/>
  <c r="I38" i="39"/>
  <c r="I39" i="39"/>
  <c r="I40" i="39"/>
  <c r="I41" i="39"/>
  <c r="I42" i="39"/>
  <c r="I43" i="39"/>
  <c r="I44" i="39"/>
  <c r="I45" i="39"/>
  <c r="I46" i="39"/>
  <c r="I47" i="39"/>
  <c r="I14" i="39"/>
  <c r="I15" i="39"/>
  <c r="AB114" i="25" l="1"/>
  <c r="AB113" i="25"/>
  <c r="AB112" i="25"/>
  <c r="AB111" i="25"/>
  <c r="AB110" i="25"/>
  <c r="AB109" i="25"/>
  <c r="AB108" i="25"/>
  <c r="AB107" i="25"/>
  <c r="AB106" i="25"/>
  <c r="AB105" i="25"/>
  <c r="AB104" i="25"/>
  <c r="AB103" i="25"/>
  <c r="AB102" i="25"/>
  <c r="AB101" i="25"/>
  <c r="AB100" i="25"/>
  <c r="AB99" i="25"/>
  <c r="AB98" i="25"/>
  <c r="AB97" i="25"/>
  <c r="AB96" i="25"/>
  <c r="AB95" i="25"/>
  <c r="AB94" i="25"/>
  <c r="AB93" i="25"/>
  <c r="AB92" i="25"/>
  <c r="AB91" i="25"/>
  <c r="AB90" i="25"/>
  <c r="AB89" i="25"/>
  <c r="AB88" i="25"/>
  <c r="AB87" i="25"/>
  <c r="AB86" i="25"/>
  <c r="AB85" i="25"/>
  <c r="AB84" i="25"/>
  <c r="AB83" i="25"/>
  <c r="AB82" i="25"/>
  <c r="AB81" i="25"/>
  <c r="AB80" i="25"/>
  <c r="AB79" i="25"/>
  <c r="AB78" i="25"/>
  <c r="AB77" i="25"/>
  <c r="AB76" i="25"/>
  <c r="AB75" i="25"/>
  <c r="AB74" i="25"/>
  <c r="AB73" i="25"/>
  <c r="AB72" i="25"/>
  <c r="AB71" i="25"/>
  <c r="AB70" i="25"/>
  <c r="AB69" i="25"/>
  <c r="AB68" i="25"/>
  <c r="AB67" i="25"/>
  <c r="AB66" i="25"/>
  <c r="AB65" i="25"/>
  <c r="AB64" i="25"/>
  <c r="AB63" i="25"/>
  <c r="AB62" i="25"/>
  <c r="AB61" i="25"/>
  <c r="AB60" i="25"/>
  <c r="AB59" i="25"/>
  <c r="AB58" i="25"/>
  <c r="AB57" i="25"/>
  <c r="AB56" i="25"/>
  <c r="AB55" i="25"/>
  <c r="AB54" i="25"/>
  <c r="AB53" i="25"/>
  <c r="AB52" i="25"/>
  <c r="AB51" i="25"/>
  <c r="AB50" i="25"/>
  <c r="AB49" i="25"/>
  <c r="AB48" i="25"/>
  <c r="AB47" i="25"/>
  <c r="AB46" i="25"/>
  <c r="AA44" i="25"/>
  <c r="AB44" i="25" s="1"/>
  <c r="AB43" i="25"/>
  <c r="AA42" i="25"/>
  <c r="AB42" i="25" s="1"/>
  <c r="AA41" i="25"/>
  <c r="AB41" i="25" s="1"/>
  <c r="AA40" i="25"/>
  <c r="AB40" i="25" s="1"/>
  <c r="AA39" i="25"/>
  <c r="AB39" i="25" s="1"/>
  <c r="AA38" i="25"/>
  <c r="AB38" i="25" s="1"/>
  <c r="AA37" i="25"/>
  <c r="AB37" i="25" s="1"/>
  <c r="AA36" i="25"/>
  <c r="AB36" i="25" s="1"/>
  <c r="AA35" i="25"/>
  <c r="AB35" i="25" s="1"/>
  <c r="AA34" i="25"/>
  <c r="AB34" i="25" s="1"/>
  <c r="AA33" i="25"/>
  <c r="AB33" i="25" s="1"/>
  <c r="AA32" i="25"/>
  <c r="AB32" i="25" s="1"/>
  <c r="AA31" i="25"/>
  <c r="AB31" i="25" s="1"/>
  <c r="H16" i="25" l="1"/>
  <c r="B2" i="31"/>
  <c r="H179" i="25" l="1"/>
  <c r="H187" i="25"/>
  <c r="H178" i="25"/>
  <c r="H182" i="25"/>
  <c r="H173" i="25"/>
  <c r="H202" i="25"/>
  <c r="H175" i="25"/>
  <c r="H192" i="25"/>
  <c r="H196" i="25"/>
  <c r="H198" i="25"/>
  <c r="H165" i="25"/>
  <c r="H199" i="25"/>
  <c r="H171" i="25"/>
  <c r="H185" i="25"/>
  <c r="H208" i="25"/>
  <c r="H163" i="25"/>
  <c r="H176" i="25"/>
  <c r="H201" i="25"/>
  <c r="H184" i="25"/>
  <c r="H190" i="25"/>
  <c r="H193" i="25"/>
  <c r="H158" i="25"/>
  <c r="H153" i="25"/>
  <c r="H159" i="25"/>
  <c r="H172" i="25"/>
  <c r="H167" i="25"/>
  <c r="H206" i="25"/>
  <c r="H181" i="25"/>
  <c r="H162" i="25"/>
  <c r="H204" i="25"/>
  <c r="H188" i="25"/>
  <c r="H205" i="25"/>
  <c r="H174" i="25"/>
  <c r="H189" i="25"/>
  <c r="H209" i="25"/>
  <c r="H156" i="25"/>
  <c r="H194" i="25"/>
  <c r="H183" i="25"/>
  <c r="H169" i="25"/>
  <c r="H177" i="25"/>
  <c r="H203" i="25"/>
  <c r="H207" i="25"/>
  <c r="H161" i="25"/>
  <c r="H180" i="25"/>
  <c r="H200" i="25"/>
  <c r="H11" i="25"/>
  <c r="H157" i="25"/>
  <c r="H197" i="25"/>
  <c r="H166" i="25"/>
  <c r="H168" i="25"/>
  <c r="H191" i="25"/>
  <c r="H186" i="25"/>
  <c r="H160" i="25"/>
  <c r="H170" i="25"/>
  <c r="H164" i="25"/>
  <c r="H195" i="25"/>
  <c r="H6" i="25"/>
  <c r="H7" i="25"/>
  <c r="H76" i="25"/>
  <c r="H110" i="25"/>
  <c r="H143" i="25"/>
  <c r="H151" i="25"/>
  <c r="H85" i="25"/>
  <c r="H137" i="25"/>
  <c r="H67" i="25"/>
  <c r="H155" i="25"/>
  <c r="H62" i="25"/>
  <c r="H90" i="25"/>
  <c r="H57" i="25"/>
  <c r="H119" i="25"/>
  <c r="H25" i="25"/>
  <c r="H88" i="25"/>
  <c r="H48" i="25"/>
  <c r="H78" i="25"/>
  <c r="H106" i="25"/>
  <c r="H10" i="25"/>
  <c r="H53" i="25"/>
  <c r="H105" i="25"/>
  <c r="H142" i="25"/>
  <c r="H117" i="25"/>
  <c r="H45" i="25"/>
  <c r="H27" i="25"/>
  <c r="H96" i="25"/>
  <c r="H133" i="25"/>
  <c r="H50" i="25"/>
  <c r="H91" i="25"/>
  <c r="H127" i="25"/>
  <c r="H40" i="25"/>
  <c r="H30" i="25"/>
  <c r="H39" i="25"/>
  <c r="H12" i="25"/>
  <c r="H19" i="25"/>
  <c r="H149" i="25"/>
  <c r="H154" i="25"/>
  <c r="H144" i="25"/>
  <c r="H44" i="25"/>
  <c r="H126" i="25"/>
  <c r="H72" i="25"/>
  <c r="H216" i="25"/>
  <c r="H37" i="25"/>
  <c r="H89" i="25"/>
  <c r="H138" i="25"/>
  <c r="H60" i="25"/>
  <c r="H128" i="25"/>
  <c r="H13" i="25"/>
  <c r="H82" i="25"/>
  <c r="H97" i="25"/>
  <c r="H136" i="25"/>
  <c r="H134" i="25"/>
  <c r="H66" i="25"/>
  <c r="H116" i="25"/>
  <c r="H58" i="25"/>
  <c r="H49" i="25"/>
  <c r="H214" i="25"/>
  <c r="H94" i="25"/>
  <c r="H83" i="25"/>
  <c r="H56" i="25"/>
  <c r="H9" i="25"/>
  <c r="H102" i="25"/>
  <c r="H108" i="25"/>
  <c r="H95" i="25"/>
  <c r="H59" i="25"/>
  <c r="H141" i="25"/>
  <c r="H101" i="25"/>
  <c r="H152" i="25"/>
  <c r="H148" i="25"/>
  <c r="H124" i="25"/>
  <c r="H32" i="25"/>
  <c r="H140" i="25"/>
  <c r="H51" i="25"/>
  <c r="H55" i="25"/>
  <c r="H103" i="25"/>
  <c r="H112" i="25"/>
  <c r="H86" i="25"/>
  <c r="H15" i="25"/>
  <c r="H84" i="25"/>
  <c r="H79" i="25"/>
  <c r="H121" i="25"/>
  <c r="H111" i="25"/>
  <c r="H34" i="25"/>
  <c r="H120" i="25"/>
  <c r="H65" i="25"/>
  <c r="H114" i="25"/>
  <c r="H147" i="25"/>
  <c r="H54" i="25"/>
  <c r="H74" i="25"/>
  <c r="H130" i="25"/>
  <c r="H47" i="25"/>
  <c r="H17" i="25"/>
  <c r="H61" i="25"/>
  <c r="H35" i="25"/>
  <c r="H63" i="25"/>
  <c r="H38" i="25"/>
  <c r="H33" i="25"/>
  <c r="H87" i="25"/>
  <c r="H115" i="25"/>
  <c r="H22" i="25"/>
  <c r="H42" i="25"/>
  <c r="H213" i="25"/>
  <c r="H122" i="25"/>
  <c r="H92" i="25"/>
  <c r="H52" i="25"/>
  <c r="H132" i="25"/>
  <c r="H21" i="25"/>
  <c r="H104" i="25"/>
  <c r="H107" i="25"/>
  <c r="H41" i="25"/>
  <c r="H139" i="25"/>
  <c r="H129" i="25"/>
  <c r="H20" i="25"/>
  <c r="H36" i="25"/>
  <c r="H118" i="25"/>
  <c r="H24" i="25"/>
  <c r="H75" i="25"/>
  <c r="H29" i="25"/>
  <c r="H81" i="25"/>
  <c r="H212" i="25"/>
  <c r="H99" i="25"/>
  <c r="H26" i="25"/>
  <c r="H113" i="25"/>
  <c r="H8" i="25"/>
  <c r="H211" i="25"/>
  <c r="H43" i="25"/>
  <c r="H64" i="25"/>
  <c r="H73" i="25"/>
  <c r="H18" i="25"/>
  <c r="H14" i="25"/>
  <c r="H28" i="25"/>
  <c r="H146" i="25"/>
  <c r="H69" i="25"/>
  <c r="H100" i="25"/>
  <c r="H71" i="25"/>
  <c r="H123" i="25"/>
  <c r="H46" i="25"/>
  <c r="H93" i="25"/>
  <c r="H145" i="25"/>
  <c r="H135" i="25"/>
  <c r="H217" i="25"/>
  <c r="H70" i="25"/>
  <c r="H98" i="25"/>
  <c r="H77" i="25"/>
  <c r="H109" i="25"/>
  <c r="H215" i="25"/>
  <c r="H131" i="25"/>
  <c r="H68" i="25"/>
  <c r="H150" i="25"/>
  <c r="H125" i="25"/>
  <c r="H31" i="25"/>
  <c r="H23" i="25"/>
  <c r="H210" i="25"/>
  <c r="H80" i="25"/>
  <c r="U18" i="25"/>
  <c r="U6" i="25"/>
  <c r="U17" i="25"/>
  <c r="U5" i="25"/>
  <c r="U16" i="25"/>
  <c r="U4" i="25"/>
  <c r="U15" i="25"/>
  <c r="U14" i="25"/>
  <c r="U13" i="25"/>
  <c r="U12" i="25"/>
  <c r="U11" i="25"/>
  <c r="U10" i="25"/>
  <c r="U19" i="25"/>
  <c r="U9" i="25"/>
  <c r="U8" i="25"/>
  <c r="U7" i="25"/>
  <c r="H233" i="25"/>
  <c r="H225" i="25"/>
  <c r="H232" i="25"/>
  <c r="H224" i="25"/>
  <c r="H231" i="25"/>
  <c r="H223" i="25"/>
  <c r="H230" i="25"/>
  <c r="H222" i="25"/>
  <c r="H229" i="25"/>
  <c r="H221" i="25"/>
  <c r="H228" i="25"/>
  <c r="H220" i="25"/>
  <c r="H227" i="25"/>
  <c r="H219" i="25"/>
  <c r="H226" i="25"/>
  <c r="H218" i="25"/>
  <c r="O50" i="18" s="1"/>
  <c r="N45" i="18" l="1"/>
  <c r="N43" i="18"/>
  <c r="N44" i="18"/>
  <c r="N42" i="18"/>
  <c r="B3" i="31"/>
  <c r="F5" i="31" l="1"/>
  <c r="H2" i="31" l="1"/>
  <c r="K56" i="18"/>
  <c r="J11" i="31" l="1"/>
  <c r="J54" i="31"/>
  <c r="J30" i="31"/>
  <c r="J28" i="31"/>
  <c r="J31" i="31"/>
  <c r="J20" i="31"/>
  <c r="K58" i="18"/>
  <c r="J27" i="31"/>
  <c r="J9" i="31"/>
  <c r="I42" i="18" l="1"/>
  <c r="D70" i="26"/>
  <c r="D71" i="26" s="1"/>
  <c r="D72" i="26" s="1"/>
  <c r="D73" i="26" s="1"/>
  <c r="D74" i="26" s="1"/>
  <c r="D75" i="26" s="1"/>
  <c r="D76" i="26" s="1"/>
  <c r="D77" i="26" s="1"/>
  <c r="D78" i="26" s="1"/>
  <c r="D79" i="26" s="1"/>
  <c r="D80" i="26" s="1"/>
  <c r="D81" i="26" s="1"/>
  <c r="D82" i="26" s="1"/>
  <c r="D83" i="26" s="1"/>
  <c r="D84" i="26" s="1"/>
  <c r="D85" i="26" s="1"/>
  <c r="D86" i="26" s="1"/>
  <c r="D87" i="26" s="1"/>
  <c r="D88" i="26" s="1"/>
  <c r="D89" i="26" s="1"/>
  <c r="D90" i="26" s="1"/>
  <c r="D91" i="26" s="1"/>
  <c r="D92" i="26" s="1"/>
  <c r="D93" i="26" s="1"/>
  <c r="D94" i="26" s="1"/>
  <c r="D95" i="26" s="1"/>
  <c r="D96" i="26" s="1"/>
  <c r="D97" i="26" s="1"/>
  <c r="D98" i="26" s="1"/>
  <c r="D99" i="26" s="1"/>
  <c r="D100" i="26" s="1"/>
  <c r="D101" i="26" s="1"/>
  <c r="D102" i="26" s="1"/>
  <c r="D103" i="26" s="1"/>
  <c r="A56" i="18"/>
  <c r="D56" i="18"/>
  <c r="O42" i="18" l="1"/>
  <c r="E56" i="18"/>
  <c r="I51" i="18"/>
  <c r="I49" i="18"/>
  <c r="E63" i="18" s="1"/>
  <c r="I48" i="18"/>
  <c r="E62" i="18" s="1"/>
  <c r="I47" i="18"/>
  <c r="E61" i="18" s="1"/>
  <c r="I46" i="18"/>
  <c r="E60" i="18" s="1"/>
  <c r="I45" i="18"/>
  <c r="E59" i="18" s="1"/>
  <c r="I44" i="18"/>
  <c r="E58" i="18" s="1"/>
  <c r="I43" i="18"/>
  <c r="E57" i="18" s="1"/>
  <c r="O51" i="18" l="1"/>
  <c r="E65" i="18"/>
  <c r="O49" i="18"/>
  <c r="O48" i="18"/>
  <c r="O46" i="18"/>
  <c r="O47" i="18"/>
  <c r="O45" i="18"/>
  <c r="O44" i="18"/>
  <c r="O43" i="18"/>
  <c r="I52" i="18"/>
  <c r="E67" i="18" l="1"/>
  <c r="A70" i="26"/>
  <c r="F71" i="18" l="1"/>
  <c r="F69" i="18"/>
  <c r="J42" i="18"/>
  <c r="A71" i="26"/>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K42" i="18" l="1"/>
  <c r="M42" i="18" s="1"/>
  <c r="J45" i="18"/>
  <c r="K45" i="18" s="1"/>
  <c r="M45" i="18" s="1"/>
  <c r="P45" i="18" s="1"/>
  <c r="F59" i="18" s="1"/>
  <c r="J44" i="18"/>
  <c r="K44" i="18" s="1"/>
  <c r="M44" i="18" s="1"/>
  <c r="P44" i="18" s="1"/>
  <c r="F58" i="18" s="1"/>
  <c r="J43" i="18"/>
  <c r="J48" i="18"/>
  <c r="K48" i="18" s="1"/>
  <c r="M48" i="18" s="1"/>
  <c r="J47" i="18"/>
  <c r="K47" i="18" s="1"/>
  <c r="J46" i="18"/>
  <c r="K46" i="18" s="1"/>
  <c r="J49" i="18"/>
  <c r="K49" i="18" s="1"/>
  <c r="M49" i="18" s="1"/>
  <c r="J50" i="18"/>
  <c r="K50" i="18" s="1"/>
  <c r="M50" i="18" s="1"/>
  <c r="J51" i="18"/>
  <c r="K51" i="18" s="1"/>
  <c r="M51" i="18" s="1"/>
  <c r="E6" i="16"/>
  <c r="E4" i="16"/>
  <c r="E5" i="16"/>
  <c r="E3" i="16"/>
  <c r="K43" i="18" l="1"/>
  <c r="M43" i="18" s="1"/>
  <c r="P43" i="18" s="1"/>
  <c r="F57" i="18" s="1"/>
  <c r="M47" i="18"/>
  <c r="P47" i="18" s="1"/>
  <c r="F61" i="18" s="1"/>
  <c r="M46" i="18"/>
  <c r="P46" i="18" s="1"/>
  <c r="F60" i="18" s="1"/>
  <c r="P51" i="18"/>
  <c r="P50" i="18"/>
  <c r="F64" i="18" s="1"/>
  <c r="P48" i="18"/>
  <c r="F62" i="18" s="1"/>
  <c r="F65" i="18" l="1"/>
  <c r="P49" i="18"/>
  <c r="F63" i="18" s="1"/>
  <c r="M32" i="16"/>
  <c r="J32" i="16"/>
  <c r="E32" i="16"/>
  <c r="M31" i="16"/>
  <c r="J31" i="16"/>
  <c r="E31" i="16"/>
  <c r="M30" i="16"/>
  <c r="J30" i="16"/>
  <c r="E30" i="16"/>
  <c r="M29" i="16"/>
  <c r="J29" i="16"/>
  <c r="E29" i="16"/>
  <c r="M28" i="16"/>
  <c r="J28" i="16"/>
  <c r="E28" i="16"/>
  <c r="M27" i="16"/>
  <c r="J27" i="16"/>
  <c r="E27" i="16"/>
  <c r="M26" i="16"/>
  <c r="J26" i="16"/>
  <c r="E26" i="16"/>
  <c r="M25" i="16"/>
  <c r="J25" i="16"/>
  <c r="E25" i="16"/>
  <c r="M24" i="16"/>
  <c r="J24" i="16"/>
  <c r="E24" i="16"/>
  <c r="M23" i="16"/>
  <c r="J23" i="16"/>
  <c r="E23" i="16"/>
  <c r="M22" i="16"/>
  <c r="J22" i="16"/>
  <c r="E22" i="16"/>
  <c r="M21" i="16"/>
  <c r="J21" i="16"/>
  <c r="E21" i="16"/>
  <c r="M20" i="16"/>
  <c r="J20" i="16"/>
  <c r="E20" i="16"/>
  <c r="M19" i="16"/>
  <c r="J19" i="16"/>
  <c r="E19" i="16"/>
  <c r="M18" i="16"/>
  <c r="J18" i="16"/>
  <c r="E18" i="16"/>
  <c r="M17" i="16"/>
  <c r="J17" i="16"/>
  <c r="E17" i="16"/>
  <c r="M16" i="16"/>
  <c r="J16" i="16"/>
  <c r="E16" i="16"/>
  <c r="M15" i="16"/>
  <c r="J15" i="16"/>
  <c r="E15" i="16"/>
  <c r="M14" i="16"/>
  <c r="J14" i="16"/>
  <c r="E14" i="16"/>
  <c r="M13" i="16"/>
  <c r="J13" i="16"/>
  <c r="E13" i="16"/>
  <c r="M12" i="16"/>
  <c r="J12" i="16"/>
  <c r="E12" i="16"/>
  <c r="M11" i="16"/>
  <c r="J11" i="16"/>
  <c r="E11" i="16"/>
  <c r="M10" i="16"/>
  <c r="J10" i="16"/>
  <c r="E10" i="16"/>
  <c r="M9" i="16"/>
  <c r="J9" i="16"/>
  <c r="E9" i="16"/>
  <c r="M8" i="16"/>
  <c r="J8" i="16"/>
  <c r="E8" i="16"/>
  <c r="M7" i="16"/>
  <c r="J7" i="16"/>
  <c r="E7" i="16"/>
  <c r="M6" i="16"/>
  <c r="J6" i="16"/>
  <c r="M5" i="16"/>
  <c r="J5" i="16"/>
  <c r="M4" i="16"/>
  <c r="J4" i="16"/>
  <c r="M3" i="16"/>
  <c r="J3" i="16"/>
  <c r="P42" i="18"/>
  <c r="F56" i="18" s="1"/>
  <c r="P52" i="18" l="1"/>
  <c r="F67" i="18"/>
  <c r="F68" i="18" l="1"/>
  <c r="F72" i="18" s="1"/>
</calcChain>
</file>

<file path=xl/sharedStrings.xml><?xml version="1.0" encoding="utf-8"?>
<sst xmlns="http://schemas.openxmlformats.org/spreadsheetml/2006/main" count="3733" uniqueCount="603">
  <si>
    <t>Network</t>
  </si>
  <si>
    <t>Maternity</t>
  </si>
  <si>
    <t>Group Name</t>
  </si>
  <si>
    <t>Loadings</t>
  </si>
  <si>
    <t>Married</t>
  </si>
  <si>
    <t>Male</t>
  </si>
  <si>
    <t>Principal</t>
  </si>
  <si>
    <t>Female</t>
  </si>
  <si>
    <t>Spouse</t>
  </si>
  <si>
    <t>56-59</t>
  </si>
  <si>
    <t>51-55</t>
  </si>
  <si>
    <t>46-50</t>
  </si>
  <si>
    <t>41-45</t>
  </si>
  <si>
    <t>36-40</t>
  </si>
  <si>
    <t>31-35</t>
  </si>
  <si>
    <t>26-30</t>
  </si>
  <si>
    <t>21-25</t>
  </si>
  <si>
    <t>Age</t>
  </si>
  <si>
    <t>Gender</t>
  </si>
  <si>
    <t>Name</t>
  </si>
  <si>
    <t>Yes</t>
  </si>
  <si>
    <t>No</t>
  </si>
  <si>
    <t>Source Name</t>
  </si>
  <si>
    <t>Age Band</t>
  </si>
  <si>
    <t>Nationality</t>
  </si>
  <si>
    <t>Total Premium</t>
  </si>
  <si>
    <t>bracket</t>
  </si>
  <si>
    <t>Date of Birth</t>
  </si>
  <si>
    <t>Marital Status</t>
  </si>
  <si>
    <t>Dependency</t>
  </si>
  <si>
    <t xml:space="preserve">Age </t>
  </si>
  <si>
    <t>Single</t>
  </si>
  <si>
    <t>Child</t>
  </si>
  <si>
    <t>Dubai</t>
  </si>
  <si>
    <t>Abu Dhabi</t>
  </si>
  <si>
    <t>S. No.</t>
  </si>
  <si>
    <t>Member Name</t>
  </si>
  <si>
    <t>DOB 
DDMMYYYY</t>
  </si>
  <si>
    <t>Plan</t>
  </si>
  <si>
    <t>Height (cm)</t>
  </si>
  <si>
    <t>Weight (kg)</t>
  </si>
  <si>
    <t>BMI</t>
  </si>
  <si>
    <t>Base Premium</t>
  </si>
  <si>
    <t>Observations</t>
  </si>
  <si>
    <t>Recommendations</t>
  </si>
  <si>
    <t>00-17</t>
  </si>
  <si>
    <t>18-35</t>
  </si>
  <si>
    <t>36-45</t>
  </si>
  <si>
    <t>46-55</t>
  </si>
  <si>
    <t>60-65</t>
  </si>
  <si>
    <t xml:space="preserve">Premium </t>
  </si>
  <si>
    <t>Plans</t>
  </si>
  <si>
    <t>66 and above</t>
  </si>
  <si>
    <t xml:space="preserve">Addional Loading </t>
  </si>
  <si>
    <t xml:space="preserve">Final Premium </t>
  </si>
  <si>
    <t xml:space="preserve"> </t>
  </si>
  <si>
    <t xml:space="preserve">Dental Premium </t>
  </si>
  <si>
    <t>Source Type</t>
  </si>
  <si>
    <t xml:space="preserve">Branch </t>
  </si>
  <si>
    <t>Ajman</t>
  </si>
  <si>
    <t xml:space="preserve">Bur Dubai </t>
  </si>
  <si>
    <t>Al Barsha</t>
  </si>
  <si>
    <t>Sharjah</t>
  </si>
  <si>
    <t>SZK</t>
  </si>
  <si>
    <t>DIP</t>
  </si>
  <si>
    <t>BDE</t>
  </si>
  <si>
    <t>Broker</t>
  </si>
  <si>
    <r>
      <t xml:space="preserve">Location                                            </t>
    </r>
    <r>
      <rPr>
        <b/>
        <sz val="10"/>
        <color theme="1"/>
        <rFont val="Calibri"/>
        <family val="2"/>
        <scheme val="minor"/>
      </rPr>
      <t>:</t>
    </r>
  </si>
  <si>
    <t>Census Information</t>
  </si>
  <si>
    <t xml:space="preserve">BDE Pin No </t>
  </si>
  <si>
    <t>OP Deductible</t>
  </si>
  <si>
    <t>Lab and Diagnostics</t>
  </si>
  <si>
    <t>Physiotherapy</t>
  </si>
  <si>
    <t>100% Covered</t>
  </si>
  <si>
    <t>Date</t>
  </si>
  <si>
    <t>Dear Sir,
National General Insurance Company (NGI) is pleased to welcome you to enroll in a distinctively designed program for you.
NGI is a leading composite insurer in UAE, recognized as a fully accredited National Insurer, publicly listed, and rated “A-(Excellent)” by AM Best.
The Health Plans for are tailored with comprehensive range of benefits, compliant to DHA and DOH-AUH, and offer highest levels of service and care to the insured members.
We are  pleased  to  offer  you  our  proposal  and  hope that  you  will  find  the  quoted  terms competitive.
Please do not hesitate to contact us for further assistance or any clarification that you may need on the product and services.
On behalf of Medical Department - National General Insurance (NGI)</t>
  </si>
  <si>
    <t>Table of Benefits</t>
  </si>
  <si>
    <t>Maximum Benefit Per Year</t>
  </si>
  <si>
    <t>AED 1,000,000</t>
  </si>
  <si>
    <t>Area of Coverage</t>
  </si>
  <si>
    <t>Provider Network</t>
  </si>
  <si>
    <t>Coverage</t>
  </si>
  <si>
    <t>TPA</t>
  </si>
  <si>
    <r>
      <t xml:space="preserve">Life Threatening Emergency case within the area of coverage </t>
    </r>
    <r>
      <rPr>
        <i/>
        <sz val="10"/>
        <rFont val="Calibri"/>
        <family val="2"/>
        <scheme val="minor"/>
      </rPr>
      <t>(to be notified within 24 hours of treatment if in a non-network provider)</t>
    </r>
  </si>
  <si>
    <t>100% of incurred costs</t>
  </si>
  <si>
    <r>
      <rPr>
        <b/>
        <sz val="10"/>
        <rFont val="Calibri"/>
        <family val="2"/>
        <scheme val="minor"/>
      </rPr>
      <t>IN-PATIENT BENEFITS</t>
    </r>
  </si>
  <si>
    <t>Room &amp; Board</t>
  </si>
  <si>
    <t>Parent Accommodation for child under 16 years of age</t>
  </si>
  <si>
    <r>
      <rPr>
        <b/>
        <sz val="10"/>
        <rFont val="Calibri"/>
        <family val="2"/>
        <scheme val="minor"/>
      </rPr>
      <t xml:space="preserve">The cost of accommodating </t>
    </r>
    <r>
      <rPr>
        <i/>
        <sz val="10"/>
        <rFont val="Calibri"/>
        <family val="2"/>
        <scheme val="minor"/>
      </rPr>
      <t>a person accompanying an in-patient in the same room in cases of medical necessity at the recommendation of the treating doctor and after the prior approval of the insurance</t>
    </r>
  </si>
  <si>
    <r>
      <rPr>
        <b/>
        <sz val="10"/>
        <rFont val="Calibri"/>
        <family val="2"/>
        <scheme val="minor"/>
      </rPr>
      <t>Emergency road ambulance  services  to and from hospital  by registered ambulance services provider</t>
    </r>
  </si>
  <si>
    <t xml:space="preserve">OUT-PATIENT BENEFITS                                                                                            </t>
  </si>
  <si>
    <r>
      <rPr>
        <b/>
        <sz val="10"/>
        <rFont val="Calibri"/>
        <family val="2"/>
        <scheme val="minor"/>
      </rPr>
      <t xml:space="preserve">Examination, diagnostic and treatment by authorized  general practitioners, specialist, and consultants. </t>
    </r>
    <r>
      <rPr>
        <i/>
        <sz val="10"/>
        <rFont val="Calibri"/>
        <family val="2"/>
        <scheme val="minor"/>
      </rPr>
      <t>(Will not be applicable for follow-up visits within 7 days from the same treatment and with the same doctor)</t>
    </r>
  </si>
  <si>
    <t>Laboratory tests carried out in authorized facility</t>
  </si>
  <si>
    <r>
      <rPr>
        <b/>
        <sz val="10"/>
        <rFont val="Calibri"/>
        <family val="2"/>
        <scheme val="minor"/>
      </rPr>
      <t xml:space="preserve">Radiology  diagnostic  services  carried  out  in  authorized  facility.  </t>
    </r>
    <r>
      <rPr>
        <i/>
        <sz val="10"/>
        <rFont val="Calibri"/>
        <family val="2"/>
        <scheme val="minor"/>
      </rPr>
      <t>(Pre- approval required for Elective MRI, CT scans, Endoscopies)</t>
    </r>
  </si>
  <si>
    <r>
      <rPr>
        <b/>
        <sz val="10"/>
        <rFont val="Calibri"/>
        <family val="2"/>
        <scheme val="minor"/>
      </rPr>
      <t xml:space="preserve">Physiotherapy
</t>
    </r>
    <r>
      <rPr>
        <i/>
        <sz val="10"/>
        <rFont val="Calibri"/>
        <family val="2"/>
        <scheme val="minor"/>
      </rPr>
      <t>Pre-approval is required for this benefit (as per policy conditions)</t>
    </r>
  </si>
  <si>
    <t>Prescribed Drugs and Medicines</t>
  </si>
  <si>
    <t xml:space="preserve">PREVENTIVE SERVICES, VACCINES, AND IMMUNIZATIONS                                                                </t>
  </si>
  <si>
    <t>Essential vaccinations and inoculations</t>
  </si>
  <si>
    <t>Adult Pneumococcal Conjugate Vaccine</t>
  </si>
  <si>
    <t>Influenza Vaccine</t>
  </si>
  <si>
    <t xml:space="preserve">ADDITIONAL BENEFITS                                                                                            </t>
  </si>
  <si>
    <r>
      <rPr>
        <b/>
        <sz val="10"/>
        <rFont val="Calibri"/>
        <family val="2"/>
        <scheme val="minor"/>
      </rPr>
      <t xml:space="preserve">Diagnostic and treatment services for dental and gum treatments (Emergency cases Only). </t>
    </r>
    <r>
      <rPr>
        <i/>
        <sz val="10"/>
        <rFont val="Calibri"/>
        <family val="2"/>
        <scheme val="minor"/>
      </rPr>
      <t>Dental emergency is any injury to your teeth or gums that can put you at a risk of permanent damage, such as Chipped or broken teeth, Knocked-out tooth, Soft-tissue injuries etc.</t>
    </r>
  </si>
  <si>
    <r>
      <rPr>
        <b/>
        <sz val="10"/>
        <rFont val="Calibri"/>
        <family val="2"/>
        <scheme val="minor"/>
      </rPr>
      <t xml:space="preserve">Hearing and vision aids, and vision correction by surgeries and laser (Emergency cases Only) </t>
    </r>
    <r>
      <rPr>
        <i/>
        <sz val="10"/>
        <rFont val="Calibri"/>
        <family val="2"/>
        <scheme val="minor"/>
      </rPr>
      <t>Hearing Emergencies include Object/insect in the ear, ruptured eardrum, sudden hearing loss etc. Vision Emergencies include bleeding or discharge from or around the eye, double vision, and Loss of vision, total or partial, one eye or both etc.</t>
    </r>
  </si>
  <si>
    <t>Covered</t>
  </si>
  <si>
    <r>
      <rPr>
        <b/>
        <sz val="10"/>
        <rFont val="Calibri"/>
        <family val="2"/>
        <scheme val="minor"/>
      </rPr>
      <t xml:space="preserve">Psychiatric Treatment and Mental Health Services, </t>
    </r>
    <r>
      <rPr>
        <sz val="10"/>
        <rFont val="Calibri"/>
        <family val="2"/>
        <scheme val="minor"/>
      </rPr>
      <t>Inpatient, outpatient, emergency. No coinsurance if a follow-up visit made within seven days</t>
    </r>
  </si>
  <si>
    <t>MATERNITY</t>
  </si>
  <si>
    <t>Note</t>
  </si>
  <si>
    <r>
      <rPr>
        <b/>
        <sz val="10"/>
        <rFont val="Calibri"/>
        <family val="2"/>
        <scheme val="minor"/>
      </rPr>
      <t>In-patient maternity services: (</t>
    </r>
    <r>
      <rPr>
        <sz val="10"/>
        <rFont val="Calibri"/>
        <family val="2"/>
        <scheme val="minor"/>
      </rPr>
      <t>Requires prior approval from the insurance company or within 24 hours of emergency treatment).</t>
    </r>
  </si>
  <si>
    <t>Out-patient maternity services:</t>
  </si>
  <si>
    <t>Newborn cover</t>
  </si>
  <si>
    <t>Newborn Entitlement</t>
  </si>
  <si>
    <r>
      <rPr>
        <b/>
        <sz val="10"/>
        <rFont val="Calibri"/>
        <family val="2"/>
        <scheme val="minor"/>
      </rPr>
      <t xml:space="preserve">Quotation Terms and Conditions.
</t>
    </r>
    <r>
      <rPr>
        <sz val="10"/>
        <rFont val="Calibri"/>
        <family val="2"/>
        <scheme val="minor"/>
      </rPr>
      <t xml:space="preserve">1)     The above quotation shall be valid for 30 days from date of issuance.
2)     All Applicants are UAE residents.
3)     Premiums are per person per annum and are </t>
    </r>
    <r>
      <rPr>
        <b/>
        <sz val="10"/>
        <rFont val="Calibri"/>
        <family val="2"/>
        <scheme val="minor"/>
      </rPr>
      <t xml:space="preserve">payable annually in advance.
</t>
    </r>
    <r>
      <rPr>
        <sz val="10"/>
        <rFont val="Calibri"/>
        <family val="2"/>
        <scheme val="minor"/>
      </rPr>
      <t xml:space="preserve">4)     </t>
    </r>
    <r>
      <rPr>
        <b/>
        <sz val="10"/>
        <rFont val="Calibri"/>
        <family val="2"/>
        <scheme val="minor"/>
      </rPr>
      <t xml:space="preserve">*Coverage of Pre-existing Conditions </t>
    </r>
    <r>
      <rPr>
        <sz val="10"/>
        <rFont val="Calibri"/>
        <family val="2"/>
        <scheme val="minor"/>
      </rPr>
      <t xml:space="preserve">is subject to submission of Health Declaration form (HDF) as below:
a. Members aged above 50 years of age, premiums are subject to Medical Underwriting upon submission of duly filled Health Declaration Forms, MER, Urinalysis, HBA1C, FBS, CBC, Lipid Profile and ECG with the report.
b.     NGI reserves the right to ask for any medical check-up if necessary and the cost of which should be borne by the applicant.
c. Pre-existing and chronic medical conditions are subject to medical underwriting and should be declared in the HDF (Health Declaration Form), where applicable. Undeclared conditions are not covered, and the policy will be subject to cancellation and or re-underwriting to validate the medical coverage. For new chronic conditions diagnosed after the inception of the policy, a waiting period of 6 months applies unless evidence of continuity of coverage is provided (if applicable).
5)     Non- Guaranteed Premium – Premiums payable for this plan are not guaranteed and may be increased at each Policy Renewal based on the claims experience of the portfolio.
6)     Change of benefit may only take place upon renewal of the policy.
7)     </t>
    </r>
    <r>
      <rPr>
        <b/>
        <sz val="10"/>
        <rFont val="Calibri"/>
        <family val="2"/>
        <scheme val="minor"/>
      </rPr>
      <t xml:space="preserve">This proposal is based on the information given.  Any change in the number, age, gender, or marital status of the persons to be insured or the scope of coverage will result in recalculation of the premium rates.
</t>
    </r>
    <r>
      <rPr>
        <sz val="10"/>
        <rFont val="Calibri"/>
        <family val="2"/>
        <scheme val="minor"/>
      </rPr>
      <t xml:space="preserve">8)     Insurance Company reserves the right to include/exclude/upgrade banding/degrade banding of any Hospitals and Clinics at any time from the designated provider network list.
</t>
    </r>
    <r>
      <rPr>
        <b/>
        <u/>
        <sz val="10"/>
        <rFont val="Calibri"/>
        <family val="2"/>
        <scheme val="minor"/>
      </rPr>
      <t xml:space="preserve">VAT Clause:
</t>
    </r>
    <r>
      <rPr>
        <sz val="10"/>
        <rFont val="Calibri"/>
        <family val="2"/>
        <scheme val="minor"/>
      </rPr>
      <t>The quote provided above is exclusive of any Value Added Tax ('VAT') or any similar tax, if applicable on the policy. VAT or any similar tax shall be charged extra as applicable.</t>
    </r>
  </si>
  <si>
    <t>AED 500,000</t>
  </si>
  <si>
    <t>AED 150,000</t>
  </si>
  <si>
    <t>Plan Name</t>
  </si>
  <si>
    <t>Head Office</t>
  </si>
  <si>
    <t xml:space="preserve">Total Premium </t>
  </si>
  <si>
    <t xml:space="preserve">Premium Summary </t>
  </si>
  <si>
    <t>Dental Benefit</t>
  </si>
  <si>
    <t>Benefits Summary :</t>
  </si>
  <si>
    <t>Vat @ 5%</t>
  </si>
  <si>
    <r>
      <t xml:space="preserve">1) BASMAH Program @AED. 19 PPPY
2) HCV @ AED. 18 PPPY </t>
    </r>
    <r>
      <rPr>
        <b/>
        <sz val="10"/>
        <color theme="1"/>
        <rFont val="Calibri"/>
        <family val="2"/>
        <scheme val="minor"/>
      </rPr>
      <t>(Total 38.85 PPPA with Vat)</t>
    </r>
  </si>
  <si>
    <t>00-15</t>
  </si>
  <si>
    <t>16-20</t>
  </si>
  <si>
    <t>56-60</t>
  </si>
  <si>
    <t>61-65</t>
  </si>
  <si>
    <t>66-69</t>
  </si>
  <si>
    <t>Refer to HO</t>
  </si>
  <si>
    <t>Healthnet</t>
  </si>
  <si>
    <r>
      <t xml:space="preserve">Policy Holder Name                        </t>
    </r>
    <r>
      <rPr>
        <b/>
        <sz val="10"/>
        <color theme="1"/>
        <rFont val="Calibri"/>
        <family val="2"/>
        <scheme val="minor"/>
      </rPr>
      <t>:</t>
    </r>
  </si>
  <si>
    <t xml:space="preserve">Medical Insurance Program – </t>
  </si>
  <si>
    <t>Claims Settlement Basis 
(After application of Copayments)</t>
  </si>
  <si>
    <t>Re-imbursement at 80% of actual costs (subject to be reasonable) or 80% of the usual &amp; customary rates of the network, whichever is less.</t>
  </si>
  <si>
    <t>Cash Indemnity for In-Patient hospitalizations that are not submitted to the Insurance Company</t>
  </si>
  <si>
    <t>Home Nursing following inpatient treatment</t>
  </si>
  <si>
    <t>Second Medical Opinion</t>
  </si>
  <si>
    <t xml:space="preserve">Plan </t>
  </si>
  <si>
    <t>Aggregate Annual Limit</t>
  </si>
  <si>
    <t xml:space="preserve">Medical Network </t>
  </si>
  <si>
    <t>Parent Accommodation for child under 18 years of age</t>
  </si>
  <si>
    <t xml:space="preserve">OP - Deductible </t>
  </si>
  <si>
    <t>OP Prescribed Drugs &amp; Medicines</t>
  </si>
  <si>
    <t>OP Diagonistics</t>
  </si>
  <si>
    <t xml:space="preserve">Physiotherapy </t>
  </si>
  <si>
    <t xml:space="preserve">In-patient maternity </t>
  </si>
  <si>
    <t>Covered on Reimbursement up to AED 300 per night and a maximum of 10 nights.
The Cash Indemnity claim must be submitted within 15 days after discharge from the hospital with a proof of hospitalization including a discharge summary.</t>
  </si>
  <si>
    <t>20 sessions per member per annum</t>
  </si>
  <si>
    <t>Covered on Reimbursement up to AED 250 per night and a maximum of 10 nights.
The Cash Indemnity claim must be submitted within 15 days after discharge from the hospital with a proof of hospitalization including a discharge summary.</t>
  </si>
  <si>
    <t>AED 50/-</t>
  </si>
  <si>
    <t>AED 300,000</t>
  </si>
  <si>
    <t>AED 250,000</t>
  </si>
  <si>
    <t>Worldwide</t>
  </si>
  <si>
    <t xml:space="preserve">OUT -patient maternity </t>
  </si>
  <si>
    <t xml:space="preserve">covered up to the Annual Limit of the policy subject to the same deductible in the selected plan on consultation </t>
  </si>
  <si>
    <t>70-75</t>
  </si>
  <si>
    <t>76-80</t>
  </si>
  <si>
    <t>[00-17]</t>
  </si>
  <si>
    <t>[18-40]</t>
  </si>
  <si>
    <t>[41-59]</t>
  </si>
  <si>
    <t>[60-69]</t>
  </si>
  <si>
    <t>70-75]</t>
  </si>
  <si>
    <t>Direct Billing Available.
Reimbursement is also possible but will be settled at 80% of the usual &amp; customary rates of the selected Network.</t>
  </si>
  <si>
    <t>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Covered under the mother’s card in event of Hospitalization, up to AED.150,000 PPPY</t>
  </si>
  <si>
    <t>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 for 30 days from birth. BCG, Hepatitis B and neo-natal screening tests (Phenylketonuria (PKU), Congenital Hypothyroidism, sickle cell screening, congenital adrenal hyperplasia)</t>
  </si>
  <si>
    <t>Disclaimer:
We, the client, hereby verify that we have submitted to National General Insurance is complete, accurate and true member registration data as mandated by the Dubai Health Authority.
We discharge National General Insurance from any liability and / or responsibility from submission of erroneous data that could prevent and / or delay the issue of visa or renewal of an existing visa and resulting penalties.
We hereby also confirm that in the event of penalty imposed on National General Insurance by Dubai Health Authority and / or General Directorate of Residency and Foreigners Affairs Dubai, we will assume full liability to pay the fines and release National General Insurance from any financial responsibility.</t>
  </si>
  <si>
    <t>Policy Holder Name</t>
  </si>
  <si>
    <t xml:space="preserve">Ref Number : </t>
  </si>
  <si>
    <t>No waiting period applies if evidence of continuity of coverage is provided; otherwise a waiting period of 6 months applies to the first scheme membership.
All pre-existing medical conditions should be declared in the medical application form and is subject to medical undewriting
Undeclared pre-existing conditions will not be covered during the policy period and will be underwritten at renewal.</t>
  </si>
  <si>
    <r>
      <rPr>
        <b/>
        <sz val="10"/>
        <rFont val="Calibri"/>
        <family val="2"/>
        <scheme val="minor"/>
      </rPr>
      <t>Hepatitis B &amp; C Virus</t>
    </r>
    <r>
      <rPr>
        <sz val="10"/>
        <rFont val="Calibri"/>
        <family val="2"/>
        <scheme val="minor"/>
      </rPr>
      <t xml:space="preserve"> (Screening and Treatment
 Screening, Healthcare Services, Investigations and Treatments only for members enrolled under Patient Support Program only)</t>
    </r>
  </si>
  <si>
    <t>Covered as per DOH Abu Dhabi guidelines</t>
  </si>
  <si>
    <t xml:space="preserve">Covered </t>
  </si>
  <si>
    <r>
      <t xml:space="preserve">Pre-existing &amp; Chronic Conditions
</t>
    </r>
    <r>
      <rPr>
        <sz val="10"/>
        <rFont val="Calibri"/>
        <family val="2"/>
        <scheme val="minor"/>
      </rPr>
      <t>Subject to Medical Application Form (MAF)</t>
    </r>
  </si>
  <si>
    <t>Gross Rate</t>
  </si>
  <si>
    <t>NRP</t>
  </si>
  <si>
    <t>Commission</t>
  </si>
  <si>
    <r>
      <t xml:space="preserve">Plan Name                                        </t>
    </r>
    <r>
      <rPr>
        <b/>
        <sz val="10"/>
        <color theme="1"/>
        <rFont val="Calibri"/>
        <family val="2"/>
        <scheme val="minor"/>
      </rPr>
      <t>:</t>
    </r>
  </si>
  <si>
    <r>
      <t xml:space="preserve">TPA                                                     </t>
    </r>
    <r>
      <rPr>
        <b/>
        <sz val="10"/>
        <color theme="1"/>
        <rFont val="Calibri"/>
        <family val="2"/>
        <scheme val="minor"/>
      </rPr>
      <t>:</t>
    </r>
  </si>
  <si>
    <t>NGI Fee</t>
  </si>
  <si>
    <t>Quote No</t>
  </si>
  <si>
    <t>Covered to AED 450 / night</t>
  </si>
  <si>
    <t>Covered up to AED 350 / night</t>
  </si>
  <si>
    <t>Covered up to AED 150 / night</t>
  </si>
  <si>
    <t xml:space="preserve">Standard Policy Exclusions </t>
  </si>
  <si>
    <t>(Applicable to Dubai and Northern Emirates Visa holders)</t>
  </si>
  <si>
    <t>(Non Abu Dhabi Members)</t>
  </si>
  <si>
    <t>1-</t>
  </si>
  <si>
    <t>2-</t>
  </si>
  <si>
    <t>All expenses relating to dental treatment, dental prostheses, and orthodontic treatments.</t>
  </si>
  <si>
    <t>3-</t>
  </si>
  <si>
    <t>Care for the sake of travelling.</t>
  </si>
  <si>
    <t>4-</t>
  </si>
  <si>
    <t>Custodial care including</t>
  </si>
  <si>
    <t xml:space="preserve">(1 ) Non-medical treatment services. </t>
  </si>
  <si>
    <t>(2) Health-related services which do not seek to improve or which do not result in a change in the medical condition of the patient.</t>
  </si>
  <si>
    <t>5-</t>
  </si>
  <si>
    <t>Services that do not require continuous administration by specialized medical personnel.</t>
  </si>
  <si>
    <t>6-</t>
  </si>
  <si>
    <t>7-</t>
  </si>
  <si>
    <t>All cosmetic healthcare services and services associated with replacement of an existing breast implant. Cosmetic operations which are related to an Injury, sickness or congenital anomaly when the primary purpose is to improve physiological functioning of the involved part of the body and breast reconstruction following a mastectomy for cancer are covered.</t>
  </si>
  <si>
    <t>8-</t>
  </si>
  <si>
    <t>Surgical and non-surgical treatment for obesity (including morbid obesity), and any other weight control programs, services, or supplies.</t>
  </si>
  <si>
    <t>9-</t>
  </si>
  <si>
    <t>Medical services utilized for the sake of research, medically non-approved experiments, investigations, and pharmacological weight reduction regimens.</t>
  </si>
  <si>
    <t>10-</t>
  </si>
  <si>
    <t>Healthcare Services that are not performed by Authorized Healthcare Service Providers.</t>
  </si>
  <si>
    <t>11-</t>
  </si>
  <si>
    <t>Healthcare services and associated expenses for the treatment of alopecia, baldness, hair falling, dandruff or wigs.</t>
  </si>
  <si>
    <t>12-</t>
  </si>
  <si>
    <t>Health services and supplies for smoking cessation programs and the treatment of nicotine addiction.</t>
  </si>
  <si>
    <t>13-</t>
  </si>
  <si>
    <t>14-</t>
  </si>
  <si>
    <t>Treatment and services for sex transformation, sterilization or intended to correct a state of sterility or infertility or sexual dysfunction. Sterilization is allowed only if medically indicated and if allowed under the Law.</t>
  </si>
  <si>
    <t>15-</t>
  </si>
  <si>
    <t>External prosthetic devices and medical equipment.</t>
  </si>
  <si>
    <t>16-</t>
  </si>
  <si>
    <t>Treatments and services arising as a result of professional sports activities, including but not limited to, any form of aerial flight, any kind of power-vehicle race, water sports, horse riding activities, mountaineering activities, violent sports such as judo, boxing, and wrestling, bungee jumping and any other professional sports activities.</t>
  </si>
  <si>
    <t>17-</t>
  </si>
  <si>
    <t>Growth hormone therapy unless medically necessary.</t>
  </si>
  <si>
    <t>18-</t>
  </si>
  <si>
    <t>Costs associated with hearing tests, prosthetic devices or hearing and vision aids.</t>
  </si>
  <si>
    <t>19-</t>
  </si>
  <si>
    <t>20-</t>
  </si>
  <si>
    <t>Patient treatment supplies (including for example: elastic stockings, ace bandages, gauze, syringes, diabetic test strips, and like products; non-prescription drugs and treatments,) excluding supplies required as a result of Healthcare Services rendered during a Medical Emergency.</t>
  </si>
  <si>
    <t>21-</t>
  </si>
  <si>
    <t>22-</t>
  </si>
  <si>
    <t>Services rendered by any medical provider who is a relative of the patient for example the Insured person himself or first-degree relatives.</t>
  </si>
  <si>
    <t>23-</t>
  </si>
  <si>
    <t>Enteral feedings (via a tube) and other nutritional and electrolyte supplements, unless medically necessary during in-patient treatment.</t>
  </si>
  <si>
    <t>24-</t>
  </si>
  <si>
    <t>Healthcare services for adjustment of spinal subluxation.</t>
  </si>
  <si>
    <t>25-</t>
  </si>
  <si>
    <t>26-</t>
  </si>
  <si>
    <t>All healthcare services &amp; treatments for in-vitro fertilization (IVF), embryo transfer; ovum and sperms transfer.</t>
  </si>
  <si>
    <t>27-</t>
  </si>
  <si>
    <t>28-</t>
  </si>
  <si>
    <t>Nasal septum deviation and nasal concha resection.</t>
  </si>
  <si>
    <t>29-</t>
  </si>
  <si>
    <t>30-</t>
  </si>
  <si>
    <t>31-</t>
  </si>
  <si>
    <t>Any services related to birth defects, congenital diseases and deformities unless if left untreated will develop into an emergency.</t>
  </si>
  <si>
    <t>32-</t>
  </si>
  <si>
    <t>Healthcare services for senile dementia and Alzheimer’s disease.</t>
  </si>
  <si>
    <t>33-</t>
  </si>
  <si>
    <t>Air or terrestrial medical evacuation and unauthorized transportation services.</t>
  </si>
  <si>
    <t>34-</t>
  </si>
  <si>
    <t>Inpatient treatment received without prior approval from the insurance company including cases of medical emergency that were not notified within 24 hours from the date of admission where possible.</t>
  </si>
  <si>
    <t>35-</t>
  </si>
  <si>
    <t>Any inpatient treatment, investigations or other procedures, which can be carried out on outpatient basis without jeopardizing the Insured Person’s health.</t>
  </si>
  <si>
    <t>36-</t>
  </si>
  <si>
    <t>Any investigations or health services conducted for non-medical purposes such as investigations related to employment, travel, licensing or insurance purposes.</t>
  </si>
  <si>
    <t>37-</t>
  </si>
  <si>
    <t>38-</t>
  </si>
  <si>
    <t>More than one consultation or follow up with a medical specialist in a single day unless referred by the treating physician.</t>
  </si>
  <si>
    <t>39-</t>
  </si>
  <si>
    <t>40-</t>
  </si>
  <si>
    <t>Any expenses related to immunomodulators and immunotherapy unless medically necessary.</t>
  </si>
  <si>
    <t>41-</t>
  </si>
  <si>
    <t>Any expenses related to the treatment of sleep related disorders.</t>
  </si>
  <si>
    <t>Services and educational programs for people of determination, this also includes disability types such as but not limited to mental, intellectual, developmental, physical and/or psychological disabilities.</t>
  </si>
  <si>
    <t>Healthcare services outside the scope of health insurance (In Emergency cases as defined by PD 02-2017, the following must be covered until stabilization at minimum)</t>
  </si>
  <si>
    <t>1 -</t>
  </si>
  <si>
    <t>Injuries or illnesses suffered by the Insured Person as a result of military operations of whatever type.</t>
  </si>
  <si>
    <t>2 -</t>
  </si>
  <si>
    <t>Injuries or illnesses suffered by the Insured Person as a result of wars or acts of terror of whatever type.</t>
  </si>
  <si>
    <t>3 -</t>
  </si>
  <si>
    <t>Healthcare services for injuries and accidents arising from nuclear or chemical contamination.</t>
  </si>
  <si>
    <t>4 -</t>
  </si>
  <si>
    <t>Injuries resulting from natural disasters, including but not limited to: earthquakes, tornados and any other type of natural disaster.</t>
  </si>
  <si>
    <t>5 -</t>
  </si>
  <si>
    <t>Injuries resulting from criminal acts or resisting authority by the Insured Person.</t>
  </si>
  <si>
    <t>6 -</t>
  </si>
  <si>
    <t>Injuries resulting from a road traffic accident.</t>
  </si>
  <si>
    <t>7 -</t>
  </si>
  <si>
    <t>8 -</t>
  </si>
  <si>
    <t>All cases resulting from the use of alcoholic drinks, controlled substances and drugs and hallucinating substances.</t>
  </si>
  <si>
    <t>9 -</t>
  </si>
  <si>
    <t>Any investigation or treatment not prescribed by a doctor.</t>
  </si>
  <si>
    <t>10 -</t>
  </si>
  <si>
    <t>Injuries resulting from attempted suicide or self-inflicted injuries.</t>
  </si>
  <si>
    <t>11 -</t>
  </si>
  <si>
    <t>Diagnosis and treatment services for complications of exempted illnesses.</t>
  </si>
  <si>
    <t>12 -</t>
  </si>
  <si>
    <t>All healthcare services for internationally and/or locally recognized epidemics.</t>
  </si>
  <si>
    <t>13 -</t>
  </si>
  <si>
    <t>Standard Policy Exclusions  (Valid for Abu Dhabi members only)</t>
  </si>
  <si>
    <t xml:space="preserve">Healthcare Services, which are not medically necessary. </t>
  </si>
  <si>
    <t xml:space="preserve">Domiciliary care; private nursing care; care for the sake of travelling. </t>
  </si>
  <si>
    <t xml:space="preserve">Custodial care includes (1) Non-medical treatment services; or (2) Health related services which do not seek to improve or which do not result in a change in the medical condition of the patient. </t>
  </si>
  <si>
    <t xml:space="preserve">Services which do not require continuous administration by specialized medical personnel. </t>
  </si>
  <si>
    <t xml:space="preserve">Personal comfort and convenience items (television, barber or beauty service, guest service and similar incidental services and supplies). </t>
  </si>
  <si>
    <t xml:space="preserve">Cosmetic operations aimed at improving physical appearance Page - 63 Book 2: Health Insurance and operations for replacement of an existing breast implant. Cosmetic operations with respect to an injury, sickness or congenital anomaly when the primary purpose is to improve physiological functioning of the involved part of the body, and breast reconstruction following a mastectomy for cancer are covered in the Basic Healthcare Services. </t>
  </si>
  <si>
    <t xml:space="preserve">Surgical and non-surgical treatment for obesity (including morbid obesity), and any other weight control programs, services, or accessories. </t>
  </si>
  <si>
    <t xml:space="preserve">Medically non-approved experimental, research, investigational healthcare services, treatments, devices and pharmacological regimens. </t>
  </si>
  <si>
    <t xml:space="preserve">Healthcare Services that are not performed by Authorized Healthcare Service Providers, apart from Healthcare Services rendered in a Medical Emergency. </t>
  </si>
  <si>
    <t>Healthcare services, treatments &amp; associated expenses for alopecia, baldness, hair falling, dandruff or wigs.</t>
  </si>
  <si>
    <t xml:space="preserve">Supplies, Treatment and services for smoking cessation programs and the treatment of nicotine addiction. </t>
  </si>
  <si>
    <t xml:space="preserve">Non-medically necessary Amniocentesis. </t>
  </si>
  <si>
    <t>14 -</t>
  </si>
  <si>
    <t xml:space="preserve">Treatment, services and surgeries for sex transformation, sterility and sterilization. </t>
  </si>
  <si>
    <t>15 -</t>
  </si>
  <si>
    <t>Treatment and services for contraception.</t>
  </si>
  <si>
    <t>16 -</t>
  </si>
  <si>
    <t xml:space="preserve">Treatment and services related to fertility / sterility (treatment Page - 64 Book 2: Health Insurance including varicocele / polycystic ovary / ovarian cyst / hormonal disturbances / sexual dysfunction). </t>
  </si>
  <si>
    <t>17 -</t>
  </si>
  <si>
    <t xml:space="preserve">Prosthetic devices and consumed medical equipment, unless approved by the insurance company. </t>
  </si>
  <si>
    <t>18 -</t>
  </si>
  <si>
    <t xml:space="preserve">Treatments and services arising as a result of hazardous activities, including but not limited to, any form of aerial flight, any kind of power-vehicle race, water sports, mountaineering activities, horse riding activities, violent sports such as judo, boxing, and wrestling, bungee jumping and any professional sports activities. </t>
  </si>
  <si>
    <t>19 -</t>
  </si>
  <si>
    <t xml:space="preserve">Growth hormone therapy. </t>
  </si>
  <si>
    <t>20 -</t>
  </si>
  <si>
    <t xml:space="preserve">Costs associated with hearing tests, vision corrections, prosthetic devices or hearing and vision aids. </t>
  </si>
  <si>
    <t>21 -</t>
  </si>
  <si>
    <t xml:space="preserve">Mental Health diseases, in-patient and out-patient treatments, unless the condition is a transient mental disorder or an acute reaction to stress. </t>
  </si>
  <si>
    <t>22 -</t>
  </si>
  <si>
    <t xml:space="preserve">Patient treatment supplies (including elastic stockings, ace bandages, gauze, syringes, diabetic test strips, and like products; non-prescription drugs and treatments, excluding such supplies required as a result of Healthcare Services rendered during a Medical Emergency). </t>
  </si>
  <si>
    <t>23 -</t>
  </si>
  <si>
    <t xml:space="preserve">Preventive services, including vaccinations, immunizations, allergy testing and desensitization; any physical, psychiatric or psychological examinations or testing during these examinations. Page - 65 Book 2: Health Insurance </t>
  </si>
  <si>
    <t>24 -</t>
  </si>
  <si>
    <t xml:space="preserve">Services rendered by any medical provider relevant of a patient for example the Insured and the Insured family members, including spouse, brother, sister, parent or child. </t>
  </si>
  <si>
    <t>25 -</t>
  </si>
  <si>
    <t xml:space="preserve">Enteral feedings (via a tube) and other nutritional and electrolyte supplements, unless medically necessary during inpatient treatment. </t>
  </si>
  <si>
    <t>26 -</t>
  </si>
  <si>
    <t xml:space="preserve">Healthcare services for adjustment of spinal subluxation, diagnosis and treatment by manipulation of the skeletal structure, by any means, except treatment of fractures and dislocations of the extremities. </t>
  </si>
  <si>
    <t>27 -</t>
  </si>
  <si>
    <t xml:space="preserve">Healthcare services and treatments by acupuncture; acupressure, hypnotism, rolfing, massage therapy, aromatherapy, homeopathic treatments, and all forms of treatment by alternative medicine. </t>
  </si>
  <si>
    <t>28 -</t>
  </si>
  <si>
    <t xml:space="preserve">All Healthcare services &amp; Treatments for in-vitro fertilization (IVF), embryo transport; ovum and male sperms transport. </t>
  </si>
  <si>
    <t>29 -</t>
  </si>
  <si>
    <t xml:space="preserve">Elective diagnostic services and medical treatment for correction of vision. </t>
  </si>
  <si>
    <t>30 -</t>
  </si>
  <si>
    <t xml:space="preserve">Nasal septum deviation and nasal concha resection. </t>
  </si>
  <si>
    <t>31 -</t>
  </si>
  <si>
    <t xml:space="preserve">All chronic conditions requiring hemodialysis or peritoneal dialysis, and related test/treatment or procedure. </t>
  </si>
  <si>
    <t>32 -</t>
  </si>
  <si>
    <t xml:space="preserve">Treatments and services related to viral hepatitis and associated complications, except for treatment and services related to Hepatitis A. Page - 66 Book 2: Health Insurance </t>
  </si>
  <si>
    <t>33 -</t>
  </si>
  <si>
    <t xml:space="preserve">Birth defects, Congenital diseases for newborn and/or Deformities unless life-threatening. </t>
  </si>
  <si>
    <t>34 -</t>
  </si>
  <si>
    <t xml:space="preserve">Healthcare services for Senile dementia and Alzheimer’s disease. </t>
  </si>
  <si>
    <t>35 -</t>
  </si>
  <si>
    <t xml:space="preserve">Air or Terrestrial Medical evacuation except for Emergency cases or unauthorized transportation services. </t>
  </si>
  <si>
    <t>36 -</t>
  </si>
  <si>
    <t xml:space="preserve">Circumcision healthcare services. </t>
  </si>
  <si>
    <t>37 -</t>
  </si>
  <si>
    <t xml:space="preserve">Inpatient treatment received without prior approval from the insurance company including cases of Medical Emergency which were not notified within 24 hours from the date of admission. </t>
  </si>
  <si>
    <t>38 -</t>
  </si>
  <si>
    <t xml:space="preserve">Any inpatient treatment, tests and other procedures, which can be carried out on outpatient basis without jeopardizing the Insured’s health. </t>
  </si>
  <si>
    <t>39 -</t>
  </si>
  <si>
    <t xml:space="preserve">Any test or treatment, for a purpose other than medical such as tests related for employment, travel, licensing or insurance purposes. </t>
  </si>
  <si>
    <t>40 -</t>
  </si>
  <si>
    <t xml:space="preserve">All supplies which are not considered as medical treatments including but not limited to: mouthwash, toothpaste, lozenges, antiseptics, milk formulas, food supplements, skin care products, shampoos and multivitamins (unless prescribed as replacement therapy for known vitamin deficiency conditions) and all equipment not primarily intended to improve a medical condition or injury, including but not limited to air conditioners or air purifying systems, arch supports, convenience items / options, exercise equipment and sanitary supplies. Page - 67 Book 2: Health Insurance </t>
  </si>
  <si>
    <t>41 -</t>
  </si>
  <si>
    <t xml:space="preserve">More than one consultation or follow up with a medical specialist in a single day unless referred by a physician. </t>
  </si>
  <si>
    <t>42 -</t>
  </si>
  <si>
    <t xml:space="preserve">Health services and associated expenses for organ and tissue transplants, irrespective of whether the Insured Person is a donor or recipient. </t>
  </si>
  <si>
    <t>43 -</t>
  </si>
  <si>
    <t xml:space="preserve">Services and educational program for handicaps. </t>
  </si>
  <si>
    <t>Healthcare Services outside the Scope of Health Insurance</t>
  </si>
  <si>
    <t xml:space="preserve">Injuries or illnesses suffered by the Insured as a result of military operations of whatever type. </t>
  </si>
  <si>
    <t xml:space="preserve">Injuries or illnesses suffered by the Insured as a result of wars or acts of terror of whatever type. </t>
  </si>
  <si>
    <t xml:space="preserve">Healthcare services for injuries and accidents arising from nuclear or chemical contamination. </t>
  </si>
  <si>
    <t xml:space="preserve">Injuries resulting from natural disasters (including but not limited to) tremors, earthquakes, tornados, cyclones and any other type of natural disaster. </t>
  </si>
  <si>
    <t xml:space="preserve">Injuries resulting from criminal acts or resisting authority by the Insured. </t>
  </si>
  <si>
    <t xml:space="preserve">Healthcare services for patients suffering from AIDS and its complications. </t>
  </si>
  <si>
    <t xml:space="preserve">Healthcare services for work illnesses and injuries as per Page - 68 Book 2: Health Insurance Federal Law No. 8 of 1980 concerning the Regulation of Work Relations, as amended, and applicable laws in this respect. </t>
  </si>
  <si>
    <t>All cases resulting from the use of alcohol, drugs and hallucinatory substances.</t>
  </si>
  <si>
    <t xml:space="preserve">Any test or treatment not prescribed by a doctor. </t>
  </si>
  <si>
    <t xml:space="preserve">Injuries resulting from attempted suicide or self-inflicted injuries. </t>
  </si>
  <si>
    <t xml:space="preserve">Diagnosis and treatment services for complications of exempted illnesses. </t>
  </si>
  <si>
    <t>All healthcare services for internationally and locally recognized epidemics.</t>
  </si>
  <si>
    <t>Venereal sexually transmitted diseases. A list with respect thereto will be set out by the General Authority for Health Services.</t>
  </si>
  <si>
    <t xml:space="preserve">The issued rates are indicative non-binding and subject to validation by NGI on review of the submitted Health declaration From and the supporting medical reports. </t>
  </si>
  <si>
    <t xml:space="preserve">The rates are valid for 30 days from the date of Issuance. </t>
  </si>
  <si>
    <t>Premiums Quoted are based on the information provided on the Health Declaration Form and may change in case the declarations by the applicant are revised.</t>
  </si>
  <si>
    <t>NGI reserves the right to non-coverage of the medical conditions and/or to invalidate the policy in event of Non-Disclosure or misrepresentation.</t>
  </si>
  <si>
    <t>The applicant must notify NGI in case of a significant change in the medical status of any of the insured members/applicant from the issuance of the quotation until its acceptance.  Failure to do so will invalidate the quoted Premium and the quotation will be considered null and void.</t>
  </si>
  <si>
    <t>The premiums are payable in advance and must be received by NGI before issuance of the policy.</t>
  </si>
  <si>
    <t>Terms and Conditions:</t>
  </si>
  <si>
    <t>Dental Premium</t>
  </si>
  <si>
    <r>
      <t xml:space="preserve">Dental Benefits                                </t>
    </r>
    <r>
      <rPr>
        <b/>
        <sz val="10"/>
        <color theme="1"/>
        <rFont val="Calibri"/>
        <family val="2"/>
        <scheme val="minor"/>
      </rPr>
      <t>:</t>
    </r>
  </si>
  <si>
    <t>Dental</t>
  </si>
  <si>
    <t xml:space="preserve">20% up to AED 100/- </t>
  </si>
  <si>
    <t>HN Exclusive</t>
  </si>
  <si>
    <t>HN Premier</t>
  </si>
  <si>
    <t>HN Advantage</t>
  </si>
  <si>
    <t>HN Standard Plus</t>
  </si>
  <si>
    <t>HN Standard</t>
  </si>
  <si>
    <t>HN Basic Plus</t>
  </si>
  <si>
    <t xml:space="preserve">20% up to AED 50/- </t>
  </si>
  <si>
    <t>Worldwide Excluding USA and Canada</t>
  </si>
  <si>
    <t>UAE+Home country</t>
  </si>
  <si>
    <t>Covered to AED 400 / night</t>
  </si>
  <si>
    <t>Covered up to AED 300 / night</t>
  </si>
  <si>
    <t>24 sessions per member per annum</t>
  </si>
  <si>
    <t>Covered subject to Nil  coinsurance payable by the insured
maximum 15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</si>
  <si>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12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</si>
  <si>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10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</si>
  <si>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8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</si>
  <si>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with Nil co-insurance up payable by the insured) 
Normal Delivery: Aggregate Limit Per Year: AED.10,000
Medically necessary Cesarean Section, Complications &amp; Medically Necessary Termination: Aggregate Limit Per Year: AED. 10,000</t>
  </si>
  <si>
    <t>Covered with 10% co-insurance up payable by the insured) 
Normal Delivery: Aggregate Limit Per Year: AED.10,000
Medically necessary Cesarean Section, Complications &amp; Medically Necessary Termination: Aggregate Limit Per Year: AED. 10,000</t>
  </si>
  <si>
    <t>Covered with 10% co-insurance up payable by the insured) 
Normal Delivery: Aggregate Limit Per Year: AED.12,500
Medically necessary Cesarean Section, Complications &amp; Medically Necessary Termination: Aggregate Limit Per Year: AED. 15,000</t>
  </si>
  <si>
    <t>Covered with 10% co-insurance up payable by the insured) 
Normal Delivery: Aggregate Limit Per Year: AED.15,000
Medically necessary Cesarean Section, Complications &amp; Medically Necessary Termination: Aggregate Limit Per Year: AED. 15,000</t>
  </si>
  <si>
    <t>Covered subject to 10%  coinsurance payable by the insured
maximum 12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</si>
  <si>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10%  coinsurance payable by the insured
maximum 10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</si>
  <si>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10%  coinsurance payable by the insured
maximum 8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</si>
  <si>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Prime Plan-1</t>
  </si>
  <si>
    <t>Prime Plan-2</t>
  </si>
  <si>
    <t>Calssic Plan-1</t>
  </si>
  <si>
    <t>Calssic Plan-1R</t>
  </si>
  <si>
    <t>Calssic Plan-2</t>
  </si>
  <si>
    <t>Calssic Plan-3</t>
  </si>
  <si>
    <t>Calssic Plan-4</t>
  </si>
  <si>
    <t>Calssic Plan-2R</t>
  </si>
  <si>
    <t>Calssic Plan-3R</t>
  </si>
  <si>
    <t>Calssic Plan-4R</t>
  </si>
  <si>
    <t>Covered up to AED 5,000/- with 20% Co Insurance</t>
  </si>
  <si>
    <t>Covered up to AED 3,500/- with 20% Co Insurance</t>
  </si>
  <si>
    <t>Covered up to AED 2,500/- with 20% Co Insurance</t>
  </si>
  <si>
    <t>Covered up to AED 2,000/- with 20% Co Insurance</t>
  </si>
  <si>
    <t>Covered up to AED 1,500/- with 20% Co Insurance</t>
  </si>
  <si>
    <t xml:space="preserve">Alternative Medicines </t>
  </si>
  <si>
    <t>Psychiatric Treatment</t>
  </si>
  <si>
    <t>Covered up to AED 5,000/- with 20% Coins</t>
  </si>
  <si>
    <t>Covered up to AED 2,000/- with 20% Coins</t>
  </si>
  <si>
    <t>Covered up to AED 1,500/- with 20% Coins</t>
  </si>
  <si>
    <t>Covered up to AED 3,000/- with 20% Coins</t>
  </si>
  <si>
    <t>Covered up to Maximum AED. 10,000 per person per annum 
(Settled on Reimbursement basis with no co-pay)</t>
  </si>
  <si>
    <t>Covered up to Maximum AED. 20,000 per person per annum 
(Settled on Reimbursement basis with no co-pay)</t>
  </si>
  <si>
    <t>Covered up to Maximum AED. 15,000 per person per annum 
(Settled on Reimbursement basis with no co-pay)</t>
  </si>
  <si>
    <t xml:space="preserve">Repatriation of Mortal Remains </t>
  </si>
  <si>
    <t>Prime Plan-1-AUH</t>
  </si>
  <si>
    <t>Prime Plan-2-AUH</t>
  </si>
  <si>
    <t>Calssic Plan-1-AUH</t>
  </si>
  <si>
    <t>Calssic Plan-2-AUH</t>
  </si>
  <si>
    <t>Calssic Plan-3-AUH</t>
  </si>
  <si>
    <t>Calssic Plan-4-AUH</t>
  </si>
  <si>
    <t>Inside Emirate of Abu Dhabi : Covered up to the Annual Limit of the policy ( In-Patient &amp; Out-Patient) Delivery inside Emirate of Abu Dhabi  is subject to a deductible of AED 500/- as per HAAD law
Outside Emirate of Abu Dhabi (within UAE): -Normal Delivery is covered up to AED 10,000/-, C-Section and maternity complications are covered up to AED  12,000/-, Medical Emergency related to Maternity is covered up to AED 150,000/-</t>
  </si>
  <si>
    <t>66-70</t>
  </si>
  <si>
    <t>60 - 65</t>
  </si>
  <si>
    <t>NRP -  R</t>
  </si>
  <si>
    <t xml:space="preserve">NRP - Classic - Open </t>
  </si>
  <si>
    <t>[60+]</t>
  </si>
  <si>
    <t>F</t>
  </si>
  <si>
    <t xml:space="preserve">HN Standard </t>
  </si>
  <si>
    <t xml:space="preserve">Premier </t>
  </si>
  <si>
    <t xml:space="preserve">HN Std Plus </t>
  </si>
  <si>
    <t xml:space="preserve">HN Std </t>
  </si>
  <si>
    <t>Maternity Premium</t>
  </si>
  <si>
    <t xml:space="preserve">NRP - R without Dental &amp; Maternity </t>
  </si>
  <si>
    <t>NRP For Open Network</t>
  </si>
  <si>
    <t xml:space="preserve">Maternity Premium </t>
  </si>
  <si>
    <t xml:space="preserve">NRP without Dental &amp; Maternity </t>
  </si>
  <si>
    <t>Not Applicable</t>
  </si>
  <si>
    <t>Uniqe ID</t>
  </si>
  <si>
    <t>Classic Plan-1</t>
  </si>
  <si>
    <t>Classic Plan-2</t>
  </si>
  <si>
    <t>Classic Plan-3</t>
  </si>
  <si>
    <t>Classic Plan-4</t>
  </si>
  <si>
    <t>Classic Plan-1R</t>
  </si>
  <si>
    <t>Classic Plan-2R</t>
  </si>
  <si>
    <t>Classic Plan-3R</t>
  </si>
  <si>
    <t>Classic Plan-4R</t>
  </si>
  <si>
    <t>Classic Plan-1-AUH</t>
  </si>
  <si>
    <t>Classic Plan-2-AUH</t>
  </si>
  <si>
    <t>Classic Plan-3-AUH</t>
  </si>
  <si>
    <t>Classic Plan-4-AUH</t>
  </si>
  <si>
    <t xml:space="preserve">NRP </t>
  </si>
  <si>
    <t>Gross</t>
  </si>
  <si>
    <t>Healthnet&amp;Dubai</t>
  </si>
  <si>
    <t>Nextcare&amp;Dubai</t>
  </si>
  <si>
    <t>Location</t>
  </si>
  <si>
    <t>for premium on Census</t>
  </si>
  <si>
    <t>for premium on census</t>
  </si>
  <si>
    <t>NGI Healthnet</t>
  </si>
  <si>
    <t>Plan 1</t>
  </si>
  <si>
    <t>Vaccination for Children (as per MOH, UAE) Inside Network : Covered 100% at Actual Cost
Outside Network : Covered on  UCR Basis.</t>
  </si>
  <si>
    <t>Private</t>
  </si>
  <si>
    <t xml:space="preserve">Within Provider Network </t>
  </si>
  <si>
    <t>Reimbursement Outside Network within the area of coverage</t>
  </si>
  <si>
    <t xml:space="preserve">Cover within the scope of territory, for Elective and Emergency </t>
  </si>
  <si>
    <t>When treatment received for emergency, accident or illnesses first arising after leaving U.A.E. whilst traveling on business or vacation for a maximum of 90 to 150 days within the geographical area, the country actual reasonable and customary prices will apply to inpatient and out -patient services.</t>
  </si>
  <si>
    <t xml:space="preserve">Covered up to 13 weeks (on reimbusement) </t>
  </si>
  <si>
    <t xml:space="preserve">Covered up to 10 weeks (on reimbusement) </t>
  </si>
  <si>
    <t xml:space="preserve">Covered up to 6 weeks (on reimbusement) </t>
  </si>
  <si>
    <r>
      <rPr>
        <b/>
        <sz val="10"/>
        <rFont val="Calibri"/>
        <family val="2"/>
        <scheme val="minor"/>
      </rPr>
      <t>Vitamins</t>
    </r>
    <r>
      <rPr>
        <sz val="10"/>
        <rFont val="Calibri"/>
        <family val="2"/>
        <scheme val="minor"/>
      </rPr>
      <t xml:space="preserve"> (If medically necessary in case of deficiency OR if prescribed by the treating physician) </t>
    </r>
  </si>
  <si>
    <r>
      <rPr>
        <b/>
        <sz val="10"/>
        <rFont val="Calibri"/>
        <family val="2"/>
        <scheme val="minor"/>
      </rPr>
      <t xml:space="preserve">Alternative Medicines/ Therapies: </t>
    </r>
    <r>
      <rPr>
        <i/>
        <sz val="10"/>
        <rFont val="Calibri"/>
        <family val="2"/>
        <scheme val="minor"/>
      </rPr>
      <t>Covers the following:  Chiropractic/ Osteopathy/ Homeopathy and Ayurvedic. Alternative Treatment administered by registered &amp; licensed Practitioner on reimbursement basis only. (all forms of massage therapy is excluded)</t>
    </r>
  </si>
  <si>
    <r>
      <t xml:space="preserve">Economy Return Air ticket (For Insured Member only): </t>
    </r>
    <r>
      <rPr>
        <sz val="10"/>
        <rFont val="Calibri"/>
        <family val="2"/>
        <scheme val="minor"/>
      </rPr>
      <t>(Subject to prior approval from NGI for cost effective treatment).</t>
    </r>
  </si>
  <si>
    <t xml:space="preserve">100% Covered on Reimbursement </t>
  </si>
  <si>
    <r>
      <t xml:space="preserve">Work Related Injuries for AUH only </t>
    </r>
    <r>
      <rPr>
        <i/>
        <sz val="10"/>
        <rFont val="Calibri"/>
        <family val="2"/>
        <scheme val="minor"/>
      </rPr>
      <t>(Healthcare services for work illnesses and injuries as per Federal Law No. 8 of 1980 concerning the Regulation of Work Relations, as amended, and applicable laws in this respect.)</t>
    </r>
  </si>
  <si>
    <t>Unique ID</t>
  </si>
  <si>
    <t>Amount</t>
  </si>
  <si>
    <t>%</t>
  </si>
  <si>
    <t>Percentage</t>
  </si>
  <si>
    <t>IF(C11="Fixed",D11+F11,D11*(1+G11))</t>
  </si>
  <si>
    <t>Fixed</t>
  </si>
  <si>
    <r>
      <rPr>
        <b/>
        <sz val="9"/>
        <color rgb="FFC00000"/>
        <rFont val="Calibri"/>
        <family val="2"/>
        <scheme val="minor"/>
      </rPr>
      <t>Hospital :</t>
    </r>
    <r>
      <rPr>
        <sz val="9"/>
        <color theme="1"/>
        <rFont val="Calibri"/>
        <family val="2"/>
        <scheme val="minor"/>
      </rPr>
      <t xml:space="preserve"> Covered up to ABL with 20% Co Insurance on all OP Services - </t>
    </r>
    <r>
      <rPr>
        <b/>
        <sz val="9"/>
        <color rgb="FFC00000"/>
        <rFont val="Calibri"/>
        <family val="2"/>
        <scheme val="minor"/>
      </rPr>
      <t>Clinics :</t>
    </r>
    <r>
      <rPr>
        <sz val="9"/>
        <color theme="1"/>
        <rFont val="Calibri"/>
        <family val="2"/>
        <scheme val="minor"/>
      </rPr>
      <t xml:space="preserve"> Covered up to ABL with Nil Co Insurance</t>
    </r>
  </si>
  <si>
    <r>
      <rPr>
        <b/>
        <sz val="9"/>
        <color rgb="FFC00000"/>
        <rFont val="Calibri"/>
        <family val="2"/>
        <scheme val="minor"/>
      </rPr>
      <t>Hospital :</t>
    </r>
    <r>
      <rPr>
        <sz val="9"/>
        <color theme="1"/>
        <rFont val="Calibri"/>
        <family val="2"/>
        <scheme val="minor"/>
      </rPr>
      <t xml:space="preserve"> Covered up to ABL with 20% Co Insurance on all OP Services -</t>
    </r>
    <r>
      <rPr>
        <b/>
        <sz val="9"/>
        <color rgb="FFC00000"/>
        <rFont val="Calibri"/>
        <family val="2"/>
        <scheme val="minor"/>
      </rPr>
      <t xml:space="preserve">Clinics : </t>
    </r>
    <r>
      <rPr>
        <sz val="9"/>
        <color theme="1"/>
        <rFont val="Calibri"/>
        <family val="2"/>
        <scheme val="minor"/>
      </rPr>
      <t>Covered up to ABL with Nil Co Insurance</t>
    </r>
  </si>
  <si>
    <r>
      <rPr>
        <b/>
        <sz val="9"/>
        <color rgb="FFC00000"/>
        <rFont val="Calibri"/>
        <family val="2"/>
        <scheme val="minor"/>
      </rPr>
      <t>Hospital :</t>
    </r>
    <r>
      <rPr>
        <sz val="9"/>
        <color theme="1"/>
        <rFont val="Calibri"/>
        <family val="2"/>
        <scheme val="minor"/>
      </rPr>
      <t xml:space="preserve"> Covered up to ABL with 20% Co Insurance on all OP Services- </t>
    </r>
    <r>
      <rPr>
        <b/>
        <sz val="9"/>
        <color rgb="FFC00000"/>
        <rFont val="Calibri"/>
        <family val="2"/>
        <scheme val="minor"/>
      </rPr>
      <t>Clinics :</t>
    </r>
    <r>
      <rPr>
        <sz val="9"/>
        <color theme="1"/>
        <rFont val="Calibri"/>
        <family val="2"/>
        <scheme val="minor"/>
      </rPr>
      <t xml:space="preserve"> Covered up to ABL with Nil Co Insurance</t>
    </r>
  </si>
  <si>
    <t>without</t>
  </si>
  <si>
    <t xml:space="preserve">with Dental </t>
  </si>
  <si>
    <t xml:space="preserve">DOH # </t>
  </si>
  <si>
    <r>
      <t xml:space="preserve">Diabetes screening  </t>
    </r>
    <r>
      <rPr>
        <i/>
        <sz val="10"/>
        <rFont val="Calibri"/>
        <family val="2"/>
        <scheme val="minor"/>
      </rPr>
      <t>(Frequency restricted to: Diabetes: Every 3 years from age 30, High risk individuals annually from age 18)</t>
    </r>
  </si>
  <si>
    <t>Covered with Nil co-insurance up payable by the insured) 
Normal Delivery: Aggregate Limit Per Year: AED.20,000
Medically necessary Cesarean Section, Complications &amp; Medically Necessary Termination: Aggregate Limit Per Year: AED. 20,000/- (Where any condition develops which becomes life threatening to either the mother or the new born, the medically necessary expenses will be covered up to AED 150,000/-)</t>
  </si>
  <si>
    <t>Covered with Nil co-insurance up payable by the insured) 
Normal Delivery: Aggregate Limit Per Year: AED.18,000
Medically necessary Cesarean Section, Complications &amp; Medically Necessary Termination: Aggregate Limit Per Year: AED. 18,000 (Where any condition develops which becomes life threatening to either the mother or the new born, the medically necessary expenses will be covered up to AED 150,000/-)</t>
  </si>
  <si>
    <t xml:space="preserve">Covered with Nil co-insurance up payable by the insured) 
Normal Delivery: Aggregate Limit Per Year: AED.15,000
Medically necessary Cesarean Section, Complications &amp; Medically Necessary Termination: Aggregate Limit Per Year: AED. 15,000/- (Where any condition develops which becomes life threatening to either the mother or the new born, the medically necessary expenses will be covered up to AED 150,000/-) </t>
  </si>
  <si>
    <t>Covered with Nil co-insurance up payable by the insured) 
Normal Delivery: Aggregate Limit Per Year: AED.12,500
Medically necessary Cesarean Section, Complications &amp; Medically Necessary Termination: Aggregate Limit Per Year: AED. 15,000/- (Where any condition develops which becomes life threatening to either the mother or the new born, the medically necessary expenses will be covered up to AED 150,000/-)</t>
  </si>
  <si>
    <t>Covered with Nil co-insurance up payable by the insured) 
Normal Delivery: Aggregate Limit Per Year: AED.12,500
Medically necessary Cesarean Section, Complications &amp; Medically Necessary Termination: Aggregate Limit Per Year: AED. 15,000 /- (Where any condition develops which becomes life threatening to either the mother or the new born, the medically necessary expenses will be covered up to AED 150,000/-)</t>
  </si>
  <si>
    <t>Additional Loading on Maternity (On NRP)</t>
  </si>
  <si>
    <r>
      <rPr>
        <b/>
        <sz val="10"/>
        <rFont val="Calibri"/>
        <family val="2"/>
        <scheme val="minor"/>
      </rPr>
      <t>Organ Transplant :</t>
    </r>
    <r>
      <rPr>
        <sz val="10"/>
        <rFont val="Calibri"/>
        <family val="2"/>
        <scheme val="minor"/>
      </rPr>
      <t xml:space="preserve"> Organ transplantation shall cover the organ transplantation as recipient excluding any cost related to donor, and excluding the acquisition and organ cost, </t>
    </r>
    <r>
      <rPr>
        <b/>
        <sz val="10"/>
        <rFont val="Calibri"/>
        <family val="2"/>
        <scheme val="minor"/>
      </rPr>
      <t>Organs covered are:</t>
    </r>
    <r>
      <rPr>
        <sz val="10"/>
        <rFont val="Calibri"/>
        <family val="2"/>
        <scheme val="minor"/>
      </rPr>
      <t xml:space="preserve"> heart, lung, kidney, pancreas, liver, Allogeneic &amp; autologous bone marrow).</t>
    </r>
  </si>
  <si>
    <t>18-40</t>
  </si>
  <si>
    <t>41-59</t>
  </si>
  <si>
    <t>60-69</t>
  </si>
  <si>
    <r>
      <t xml:space="preserve">Tests, diagnosis, treatments and surgeries for Non-urgent cases
</t>
    </r>
    <r>
      <rPr>
        <sz val="10"/>
        <rFont val="Calibri"/>
        <family val="2"/>
        <scheme val="minor"/>
      </rPr>
      <t>Pre-approval  is required for this benefit.</t>
    </r>
  </si>
  <si>
    <r>
      <rPr>
        <b/>
        <sz val="10"/>
        <rFont val="Calibri"/>
        <family val="2"/>
        <scheme val="minor"/>
      </rPr>
      <t>Cancer Screening &amp; Treatment</t>
    </r>
    <r>
      <rPr>
        <sz val="10"/>
        <rFont val="Calibri"/>
        <family val="2"/>
        <scheme val="minor"/>
      </rPr>
      <t xml:space="preserve"> </t>
    </r>
    <r>
      <rPr>
        <i/>
        <sz val="10"/>
        <rFont val="Calibri"/>
        <family val="2"/>
        <scheme val="minor"/>
      </rPr>
      <t>(Breast, Cervical &amp; colorectal Covered under BASMAH patient support program .)</t>
    </r>
  </si>
  <si>
    <t>Dental Exclusions Elaborated</t>
  </si>
  <si>
    <t xml:space="preserve">These services remain excluded under the Dental benefit unless otherwise explicitly stated in the dental coverage in the Schedule of Benefits.  </t>
  </si>
  <si>
    <t>Fixed bridgework or dentures or replacement of any kind.</t>
  </si>
  <si>
    <t>Services or supplies from anyone other than a dentist or a physician.</t>
  </si>
  <si>
    <t>Facings, veneers or similar material placed on any teeth.</t>
  </si>
  <si>
    <t>Services or supplies that are partially or wholly cosmetic in nature or directed towards a cosmetic end.</t>
  </si>
  <si>
    <t>A broken appointment.</t>
  </si>
  <si>
    <t>Application of fluoride.</t>
  </si>
  <si>
    <t>Any prosthetic appliances or replacement of any kind.</t>
  </si>
  <si>
    <t>Claim form completion costs.</t>
  </si>
  <si>
    <t>Any implant.</t>
  </si>
  <si>
    <t>Wiring or bonding teeth or crowns to act as a splint for any reason.</t>
  </si>
  <si>
    <t>Any injury arising from any employment or occupation.</t>
  </si>
  <si>
    <t>Services or supplies for which you are not required to pay.</t>
  </si>
  <si>
    <t>Appliances, restorations, or any procedures to alter vertical dimension or restore occlusion.</t>
  </si>
  <si>
    <t>Periodontal treatment or surgery.</t>
  </si>
  <si>
    <t>Orthodontic Treatment</t>
  </si>
  <si>
    <t xml:space="preserve"> Expenses incurred after the date coverage under the Plan ceases for an Insured Person for any reason. This is true even though the expenses relate to a condition that begins whilst an Insured Person was covered.</t>
  </si>
  <si>
    <t>Any service that is not necessary or is not normally performed for proper dental care of the condition or any service that is not approved by the attending dentist.</t>
  </si>
  <si>
    <t>Services or supplies that do not meet accepted standards of dental practice including experimental services or  supplies.</t>
  </si>
  <si>
    <t>Any conditions covered by Worker’s Compensation.</t>
  </si>
  <si>
    <t>HN Advantage (Additional 10% Co-pay applicable on all OP Services excluding Pharmacy at NMC Royal Hosp. Sharjah)</t>
  </si>
  <si>
    <t>HN Standard Plus (Additional 10% Co-pay applicable on all OP Services excluding Pharmacy at NMC Royal Hosp. Sharjah)</t>
  </si>
  <si>
    <r>
      <t xml:space="preserve">Visa Location                                 </t>
    </r>
    <r>
      <rPr>
        <b/>
        <sz val="10"/>
        <color theme="1"/>
        <rFont val="Calibri"/>
        <family val="2"/>
        <scheme val="minor"/>
      </rPr>
      <t xml:space="preserve">  :</t>
    </r>
  </si>
  <si>
    <t>NE</t>
  </si>
  <si>
    <t>AUH</t>
  </si>
  <si>
    <t>PA</t>
  </si>
  <si>
    <t>‘Personal Accident Free cover for Insured persons between 3 years to 69 years’</t>
  </si>
  <si>
    <r>
      <rPr>
        <b/>
        <sz val="10"/>
        <color rgb="FF000000"/>
        <rFont val="Calibri"/>
        <family val="2"/>
      </rPr>
      <t>Personal Accident Coverage:(For Priamry Insured and Spouse)</t>
    </r>
    <r>
      <rPr>
        <sz val="10"/>
        <color rgb="FF000000"/>
        <rFont val="Calibri"/>
        <family val="2"/>
      </rPr>
      <t xml:space="preserve">
Accidental Death and Dismemberment (AD&amp;D)
Permanent Total Disability (PTD)
Accidental Death (AD) on Common Carrier
Permanent Partial Disability (PPD)
Accidental Medical Reimbursement (AMR)
Repatriation due to Accidental Death (AD)/ Permanent Total Disability (PTD)</t>
    </r>
  </si>
  <si>
    <r>
      <rPr>
        <b/>
        <sz val="10"/>
        <color rgb="FF000000"/>
        <rFont val="Calibri"/>
        <family val="2"/>
      </rPr>
      <t>Personal Accident Coverage:(For Children)</t>
    </r>
    <r>
      <rPr>
        <sz val="10"/>
        <color rgb="FF000000"/>
        <rFont val="Calibri"/>
        <family val="2"/>
      </rPr>
      <t xml:space="preserve">
Accidental Death and Dismemberment (AD&amp;D)
Permanent Partial Disability (PPD)
Accidental Medical Reimbursement (AMR)</t>
    </r>
  </si>
  <si>
    <t xml:space="preserve">
Covered up to AED 50,000/-
Covered  As Per Continental Scale  
Covered up to AED 2,500/-
</t>
  </si>
  <si>
    <t xml:space="preserve">
Covered up to AED 50,000/-
Covered up to AED 50,000/-
Covered up to AED 100,000/-
Covered  As Per Continental Scale  
Covered up to AED 5,000/-
Covered up to AED 5,000/-
</t>
  </si>
  <si>
    <t xml:space="preserve">NRP increase for the AUH plan Classic - 04 in line with AUH min premium </t>
  </si>
  <si>
    <t>ICP Fee</t>
  </si>
  <si>
    <t>Shingrix Vaccine
(For NLSB members DXB visa holders)</t>
  </si>
  <si>
    <t>Covered only for members satisfying the eligibility criteria set by DHA. Limited to the cost of the vaccine and its administration only.</t>
  </si>
  <si>
    <t>Covered up to AED 15,000 with Nil Co Insurance 
(Branded)</t>
  </si>
  <si>
    <t>Covered up to AED 15,000 with Nil Co Insurance
(Branded)</t>
  </si>
  <si>
    <t>Covered up to AED 10,000 with Nil Co Insurance
(Branded)</t>
  </si>
  <si>
    <t>Covered up to AED 10,000/- with 10% Co Insurance 
(Branded)</t>
  </si>
  <si>
    <t>Covered up to AED 15,000 with Nil Insurance
(Branded)</t>
  </si>
  <si>
    <t>Covered up to AED 10,000 with Nil Insurance
(Branded)</t>
  </si>
  <si>
    <t>Kidney Dialysis</t>
  </si>
  <si>
    <t>Mental Health (Outpatient counselling)</t>
  </si>
  <si>
    <t>Enhanced</t>
  </si>
  <si>
    <t>Basic</t>
  </si>
  <si>
    <r>
      <rPr>
        <b/>
        <u/>
        <sz val="10"/>
        <rFont val="Calibri"/>
        <family val="2"/>
        <scheme val="minor"/>
      </rPr>
      <t xml:space="preserve">Dental Benefit: 
</t>
    </r>
    <r>
      <rPr>
        <sz val="10"/>
        <rFont val="Calibri"/>
        <family val="2"/>
        <scheme val="minor"/>
      </rPr>
      <t xml:space="preserve">
Dental consultation, Extraction, Fillings, Root Canal Treatment, Scaling, x-rays, Antibiotics and prophylaxis)</t>
    </r>
  </si>
  <si>
    <r>
      <t xml:space="preserve">Dental Benefit: 
</t>
    </r>
    <r>
      <rPr>
        <i/>
        <sz val="8"/>
        <rFont val="Calibri"/>
        <family val="2"/>
        <scheme val="minor"/>
      </rPr>
      <t>•Routine oral examination and routine cleaning of teeth. Once only per policy year.
•Extraction (removal of teeth) on the recommendation of a dentist.
•Filling of decayed or fractured teeth on the recommendation of a dentist.
•Dental x-rays when needed to diagnose and treat a covered dental condition.
•General anesthetics, when medically necessary and in connection with a covered dental procedure.
•Endodontic treatment, including root canal therapy.
•Surgical Interventions 
•Prescribed Drugs related to the above treatment</t>
    </r>
  </si>
  <si>
    <t xml:space="preserve">*Additional Premium </t>
  </si>
  <si>
    <t>* Additional Premium for New DHA Benefits</t>
  </si>
  <si>
    <t>AED - 173/- For HN Exclusive , Premier &amp; Advantage Network</t>
  </si>
  <si>
    <t>AED - 89/- For HN Standard Plus , Standard &amp; Basic Plus</t>
  </si>
  <si>
    <t xml:space="preserve">HN Premier </t>
  </si>
  <si>
    <t>Reffer to HO UW</t>
  </si>
  <si>
    <r>
      <t>Education and all types of training institutes (</t>
    </r>
    <r>
      <rPr>
        <sz val="10"/>
        <color rgb="FF000000"/>
        <rFont val="Verdana"/>
        <family val="2"/>
      </rPr>
      <t>Schools, universities and academic institutions)</t>
    </r>
    <r>
      <rPr>
        <sz val="10"/>
        <color theme="1"/>
        <rFont val="Calibri"/>
        <family val="2"/>
      </rPr>
      <t xml:space="preserve">, </t>
    </r>
  </si>
  <si>
    <t>Medical Service Providers</t>
  </si>
  <si>
    <r>
      <rPr>
        <sz val="10"/>
        <color theme="1"/>
        <rFont val="Calibri"/>
        <family val="2"/>
      </rPr>
      <t xml:space="preserve">Driving Institutes or similar professions (including </t>
    </r>
    <r>
      <rPr>
        <sz val="10"/>
        <color rgb="FF000000"/>
        <rFont val="Verdana"/>
        <family val="2"/>
      </rPr>
      <t>Taxi Companies &amp; Transport companies)</t>
    </r>
  </si>
  <si>
    <t>Military Services</t>
  </si>
  <si>
    <t>Associations of any kind</t>
  </si>
  <si>
    <t>Legal Consultants</t>
  </si>
  <si>
    <t>Banking &amp; Financial institutions</t>
  </si>
  <si>
    <t xml:space="preserve">Others </t>
  </si>
  <si>
    <t>Please Proceed</t>
  </si>
  <si>
    <t>Insurance/ TPA</t>
  </si>
  <si>
    <r>
      <t xml:space="preserve">Professional                                 </t>
    </r>
    <r>
      <rPr>
        <b/>
        <sz val="10"/>
        <color rgb="FF9E0000"/>
        <rFont val="Calibri"/>
        <family val="2"/>
        <scheme val="minor"/>
      </rPr>
      <t xml:space="preserve">   :</t>
    </r>
  </si>
  <si>
    <t>Underwriting Comments</t>
  </si>
  <si>
    <t>Revised NRP-04/12/2024</t>
  </si>
  <si>
    <t xml:space="preserve">Male Premium - 10% Increased </t>
  </si>
  <si>
    <t xml:space="preserve">Female Premium - 20% Increased </t>
  </si>
  <si>
    <t>Revised NRP+PA+New DHA benefits</t>
  </si>
  <si>
    <t>Personal comfort and convenience items (television, barber or beauty service, guest service and similar incidental services and supplies)</t>
  </si>
  <si>
    <t>Mental Health diseases (in-patient treatments), unless it is an emergency condition.</t>
  </si>
  <si>
    <t>Allergy testing and desensitization (except testing for allergy towards medications and supplies used in treatment</t>
  </si>
  <si>
    <t>Healthcare services and treatments by acupuncture; acupressure, hypnotism, massage therapy, aromatherapy, ozone therapy, homeopathic treatments, and all forms of treatment by alternative medicine.</t>
  </si>
  <si>
    <t>Elective diagnostic services and medical treatment for correction of vision.</t>
  </si>
  <si>
    <t>Healthcare services, investigations and treatments related to viral hepatitis and associated complications, except for the treatment and services related to Hepatitis A, B and C.</t>
  </si>
  <si>
    <t>All supplies which are not considered as medical treatments including but not limited to: mouthwash, toothpaste, lozenges, antiseptics, , food supplements, skin care products, shampoos and multivitamins (unless prescribed as replacement therapy for known vitamin deficiency conditions); and all equipment not primarily intended to improve a medical condition or injury, including but not limited to: air conditioners or air purifying systems, arch supports, exercise equipment and sanitary supplies.</t>
  </si>
  <si>
    <t>Health services and associated expenses for organ and tissue transplants, where the Insured Person is a donor. This exclusion also applies to follow-up treatments and complications unless if left untreated will develop into an emergency.</t>
  </si>
  <si>
    <t>Healthcare Services which are not medically necessary.</t>
  </si>
  <si>
    <t>All expenses relating to dental prostheses, orthodontic treatments, etc.</t>
  </si>
  <si>
    <t>Healthcare services for work related illnesses and injuries as per Federal Law No. 8 of 1980 concerning the Regulation of Work Relations, its amendments, and applicable laws in this respect.</t>
  </si>
  <si>
    <t>Healthcare services for patients suffering from (and related to the diagnosis and treatment of) HIV – AIDS and its complications and all types of hepatitis except virus A, B and C hepatitis.</t>
  </si>
  <si>
    <r>
      <t xml:space="preserve">Repatriation of Mortal Remains </t>
    </r>
    <r>
      <rPr>
        <i/>
        <sz val="10"/>
        <rFont val="Calibri"/>
        <family val="2"/>
        <scheme val="minor"/>
      </rPr>
      <t>(Repatriation costs for the transport of mortal remains to the country of origin.)</t>
    </r>
  </si>
  <si>
    <t>Tool Version 2025/3</t>
  </si>
  <si>
    <t>HUSSEIN ALI CHABANI</t>
  </si>
  <si>
    <t>SYRIA</t>
  </si>
  <si>
    <t>KINDA AL ASSAD</t>
  </si>
  <si>
    <t>LAYAL CHABANI</t>
  </si>
  <si>
    <t>ALY CHABANI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</si>
</sst>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_-* #,##0.00_-;\-* #,##0.00_-;_-* &quot;-&quot;??_-;_-@_-"/>
    <numFmt numFmtId="165" formatCode="0.0%"/>
    <numFmt numFmtId="166" formatCode="[$-409]d\-mmm\-yy;@"/>
    <numFmt numFmtId="167" formatCode="_-* #,##0_-;\-* #,##0_-;_-* &quot;-&quot;??_-;_-@_-"/>
    <numFmt numFmtId="168" formatCode="[$-F800]dddd\,\ mmmm\ dd\,\ yyyy"/>
  </numFmts>
  <fonts count="51"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1"/>
      <color theme="1"/>
      <name val="Calibri"/>
      <family val="2"/>
    </font>
    <font>
      <b/>
      <sz val="10"/>
      <name val="Calibri"/>
      <family val="2"/>
      <scheme val="minor"/>
    </font>
    <font>
      <sz val="10"/>
      <color theme="1"/>
      <name val="Calibri"/>
      <family val="2"/>
      <scheme val="minor"/>
    </font>
    <font>
      <b/>
      <sz val="10"/>
      <color theme="1"/>
      <name val="Calibri"/>
      <family val="2"/>
      <scheme val="minor"/>
    </font>
    <font>
      <sz val="8"/>
      <name val="Tahoma"/>
      <family val="2"/>
    </font>
    <font>
      <sz val="10"/>
      <name val="Calibri"/>
      <family val="2"/>
      <scheme val="minor"/>
    </font>
    <font>
      <b/>
      <sz val="11"/>
      <color theme="3"/>
      <name val="Calibri"/>
      <family val="2"/>
      <scheme val="minor"/>
    </font>
    <font>
      <b/>
      <sz val="10"/>
      <color rgb="FFC00000"/>
      <name val="Calibri"/>
      <family val="2"/>
      <scheme val="minor"/>
    </font>
    <font>
      <b/>
      <sz val="10"/>
      <color rgb="FF002060"/>
      <name val="Calibri"/>
      <family val="2"/>
      <scheme val="minor"/>
    </font>
    <font>
      <b/>
      <sz val="10"/>
      <color rgb="FF800000"/>
      <name val="Calibri"/>
      <family val="2"/>
      <scheme val="minor"/>
    </font>
    <font>
      <sz val="10"/>
      <color rgb="FF000000"/>
      <name val="Times New Roman"/>
      <family val="1"/>
    </font>
    <font>
      <i/>
      <sz val="10"/>
      <name val="Calibri"/>
      <family val="2"/>
      <scheme val="minor"/>
    </font>
    <font>
      <b/>
      <u/>
      <sz val="10"/>
      <name val="Calibri"/>
      <family val="2"/>
      <scheme val="minor"/>
    </font>
    <font>
      <b/>
      <sz val="10"/>
      <color theme="0"/>
      <name val="Calibri"/>
      <family val="2"/>
      <scheme val="minor"/>
    </font>
    <font>
      <sz val="11"/>
      <color rgb="FFC00000"/>
      <name val="Calibri"/>
      <family val="2"/>
      <scheme val="minor"/>
    </font>
    <font>
      <sz val="10"/>
      <color rgb="FFC00000"/>
      <name val="Calibri"/>
      <family val="2"/>
      <scheme val="minor"/>
    </font>
    <font>
      <sz val="10"/>
      <color theme="3"/>
      <name val="Calibri"/>
      <family val="2"/>
      <scheme val="minor"/>
    </font>
    <font>
      <b/>
      <u/>
      <sz val="10"/>
      <color theme="1"/>
      <name val="Calibri"/>
      <family val="2"/>
      <scheme val="minor"/>
    </font>
    <font>
      <sz val="9"/>
      <color theme="1"/>
      <name val="Calibri"/>
      <family val="2"/>
      <scheme val="minor"/>
    </font>
    <font>
      <b/>
      <sz val="9"/>
      <color rgb="FFC00000"/>
      <name val="Calibri"/>
      <family val="2"/>
      <scheme val="minor"/>
    </font>
    <font>
      <sz val="9"/>
      <name val="Calibri"/>
      <family val="2"/>
      <scheme val="minor"/>
    </font>
    <font>
      <sz val="11"/>
      <color theme="0"/>
      <name val="Calibri"/>
      <family val="2"/>
      <scheme val="minor"/>
    </font>
    <font>
      <sz val="10"/>
      <color theme="0"/>
      <name val="Calibri"/>
      <family val="2"/>
      <scheme val="minor"/>
    </font>
    <font>
      <sz val="10"/>
      <color rgb="FF02045E"/>
      <name val="Calibri"/>
      <family val="2"/>
      <scheme val="minor"/>
    </font>
    <font>
      <b/>
      <sz val="10"/>
      <color rgb="FFFF0000"/>
      <name val="Calibri"/>
      <family val="2"/>
      <scheme val="minor"/>
    </font>
    <font>
      <b/>
      <sz val="8"/>
      <color rgb="FFFF0000"/>
      <name val="Calibri"/>
      <family val="2"/>
      <scheme val="minor"/>
    </font>
    <font>
      <b/>
      <sz val="9"/>
      <color theme="1"/>
      <name val="Calibri"/>
      <family val="2"/>
      <scheme val="minor"/>
    </font>
    <font>
      <sz val="10"/>
      <color rgb="FF9E0000"/>
      <name val="Calibri"/>
      <family val="2"/>
      <scheme val="minor"/>
    </font>
    <font>
      <b/>
      <sz val="10"/>
      <color rgb="FF9E0000"/>
      <name val="Calibri"/>
      <family val="2"/>
      <scheme val="minor"/>
    </font>
    <font>
      <sz val="9"/>
      <color rgb="FF130579"/>
      <name val="Calibri"/>
      <family val="2"/>
      <scheme val="minor"/>
    </font>
    <font>
      <b/>
      <sz val="10"/>
      <color rgb="FF130579"/>
      <name val="Calibri"/>
      <family val="2"/>
      <scheme val="minor"/>
    </font>
    <font>
      <sz val="10"/>
      <color rgb="FF800000"/>
      <name val="Calibri"/>
      <family val="2"/>
      <scheme val="minor"/>
    </font>
    <font>
      <b/>
      <sz val="10"/>
      <color rgb="FF000000"/>
      <name val="Calibri"/>
      <family val="2"/>
    </font>
    <font>
      <sz val="10"/>
      <color rgb="FF000000"/>
      <name val="Calibri"/>
      <family val="2"/>
    </font>
    <font>
      <sz val="10"/>
      <color rgb="FF00B0F0"/>
      <name val="Calibri"/>
      <family val="2"/>
      <scheme val="minor"/>
    </font>
    <font>
      <b/>
      <sz val="8"/>
      <name val="Calibri"/>
      <family val="2"/>
      <scheme val="minor"/>
    </font>
    <font>
      <i/>
      <sz val="8"/>
      <name val="Calibri"/>
      <family val="2"/>
      <scheme val="minor"/>
    </font>
    <font>
      <sz val="10"/>
      <color theme="1"/>
      <name val="Calibri"/>
      <family val="2"/>
    </font>
    <font>
      <sz val="10"/>
      <color rgb="FF000000"/>
      <name val="Verdana"/>
      <family val="2"/>
    </font>
    <font>
      <sz val="11"/>
      <color rgb="FFFF0000"/>
      <name val="Calibri"/>
      <family val="2"/>
      <scheme val="minor"/>
    </font>
    <font>
      <b/>
      <u/>
      <sz val="14"/>
      <color rgb="FFFF0000"/>
      <name val="Calibri"/>
      <family val="2"/>
      <scheme val="minor"/>
    </font>
    <font>
      <b/>
      <u/>
      <sz val="11"/>
      <color rgb="FFFF0000"/>
      <name val="Calibri"/>
      <family val="2"/>
      <scheme val="minor"/>
    </font>
    <font>
      <b/>
      <u/>
      <sz val="12"/>
      <color rgb="FFFF0000"/>
      <name val="Palatino Linotype"/>
      <family val="1"/>
    </font>
    <font>
      <b/>
      <sz val="12"/>
      <color rgb="FFFF0000"/>
      <name val="Palatino Linotype"/>
      <family val="1"/>
    </font>
    <font>
      <b/>
      <sz val="11"/>
      <color rgb="FFFF0000"/>
      <name val="Calibri"/>
      <family val="2"/>
      <scheme val="minor"/>
    </font>
    <font>
      <sz val="11"/>
      <color rgb="FFFF0000"/>
      <name val="Calibri"/>
      <family val="2"/>
    </font>
    <font>
      <sz val="12"/>
      <color rgb="FFFF0000"/>
      <name val="Calibri"/>
      <family val="2"/>
    </font>
  </fonts>
  <fills count="2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183B66"/>
        <bgColor indexed="64"/>
      </patternFill>
    </fill>
    <fill>
      <patternFill patternType="solid">
        <fgColor rgb="FFFFC000"/>
        <bgColor indexed="64"/>
      </patternFill>
    </fill>
    <fill>
      <patternFill patternType="solid">
        <fgColor rgb="FF92D050"/>
        <bgColor indexed="64"/>
      </patternFill>
    </fill>
    <fill>
      <patternFill patternType="solid">
        <fgColor theme="2" tint="-0.749992370372631"/>
        <bgColor indexed="64"/>
      </patternFill>
    </fill>
    <fill>
      <patternFill patternType="solid">
        <fgColor theme="6"/>
        <bgColor indexed="64"/>
      </patternFill>
    </fill>
    <fill>
      <patternFill patternType="solid">
        <fgColor theme="3"/>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00B0F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right/>
      <top/>
      <bottom style="medium">
        <color theme="4" tint="0.39997558519241921"/>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theme="6" tint="0.39994506668294322"/>
      </left>
      <right style="thin">
        <color theme="6" tint="0.39994506668294322"/>
      </right>
      <top style="medium">
        <color theme="6" tint="0.39994506668294322"/>
      </top>
      <bottom style="thin">
        <color theme="6" tint="0.39994506668294322"/>
      </bottom>
      <diagonal/>
    </border>
    <border>
      <left style="thin">
        <color theme="6" tint="0.39994506668294322"/>
      </left>
      <right style="thin">
        <color theme="6" tint="0.39994506668294322"/>
      </right>
      <top style="medium">
        <color theme="6" tint="0.39994506668294322"/>
      </top>
      <bottom style="thin">
        <color theme="6" tint="0.39994506668294322"/>
      </bottom>
      <diagonal/>
    </border>
    <border>
      <left style="thin">
        <color theme="6" tint="0.39994506668294322"/>
      </left>
      <right style="medium">
        <color theme="6" tint="0.39994506668294322"/>
      </right>
      <top style="medium">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style="thin">
        <color theme="6" tint="0.39994506668294322"/>
      </bottom>
      <diagonal/>
    </border>
    <border>
      <left style="thin">
        <color theme="6" tint="0.39994506668294322"/>
      </left>
      <right style="thin">
        <color theme="6" tint="0.39994506668294322"/>
      </right>
      <top style="thin">
        <color theme="6" tint="0.39994506668294322"/>
      </top>
      <bottom style="thin">
        <color theme="6" tint="0.39994506668294322"/>
      </bottom>
      <diagonal/>
    </border>
    <border>
      <left style="thin">
        <color theme="6" tint="0.39994506668294322"/>
      </left>
      <right style="medium">
        <color theme="6" tint="0.39994506668294322"/>
      </right>
      <top style="thin">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style="medium">
        <color theme="6" tint="0.39994506668294322"/>
      </bottom>
      <diagonal/>
    </border>
    <border>
      <left style="thin">
        <color theme="6" tint="0.39994506668294322"/>
      </left>
      <right style="thin">
        <color theme="6" tint="0.39994506668294322"/>
      </right>
      <top style="thin">
        <color theme="6" tint="0.39994506668294322"/>
      </top>
      <bottom style="medium">
        <color theme="6" tint="0.39994506668294322"/>
      </bottom>
      <diagonal/>
    </border>
    <border>
      <left style="thin">
        <color theme="6" tint="0.39994506668294322"/>
      </left>
      <right style="medium">
        <color theme="6" tint="0.39994506668294322"/>
      </right>
      <top style="thin">
        <color theme="6" tint="0.39994506668294322"/>
      </top>
      <bottom style="medium">
        <color theme="6" tint="0.39994506668294322"/>
      </bottom>
      <diagonal/>
    </border>
    <border>
      <left style="medium">
        <color theme="6" tint="0.39994506668294322"/>
      </left>
      <right/>
      <top style="thin">
        <color theme="6" tint="0.39994506668294322"/>
      </top>
      <bottom/>
      <diagonal/>
    </border>
    <border>
      <left/>
      <right/>
      <top style="thin">
        <color theme="6" tint="0.39994506668294322"/>
      </top>
      <bottom/>
      <diagonal/>
    </border>
    <border>
      <left/>
      <right style="medium">
        <color theme="6" tint="0.39994506668294322"/>
      </right>
      <top style="thin">
        <color theme="6" tint="0.39994506668294322"/>
      </top>
      <bottom/>
      <diagonal/>
    </border>
    <border>
      <left style="medium">
        <color theme="6" tint="0.39994506668294322"/>
      </left>
      <right/>
      <top/>
      <bottom/>
      <diagonal/>
    </border>
    <border>
      <left/>
      <right style="medium">
        <color theme="6" tint="0.39994506668294322"/>
      </right>
      <top/>
      <bottom/>
      <diagonal/>
    </border>
    <border>
      <left style="medium">
        <color theme="6" tint="0.39994506668294322"/>
      </left>
      <right/>
      <top/>
      <bottom style="thin">
        <color theme="6" tint="0.39994506668294322"/>
      </bottom>
      <diagonal/>
    </border>
    <border>
      <left/>
      <right/>
      <top/>
      <bottom style="thin">
        <color theme="6" tint="0.39994506668294322"/>
      </bottom>
      <diagonal/>
    </border>
    <border>
      <left/>
      <right style="medium">
        <color theme="6" tint="0.39994506668294322"/>
      </right>
      <top/>
      <bottom style="thin">
        <color theme="6" tint="0.3999450666829432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6" tint="0.39994506668294322"/>
      </left>
      <right/>
      <top style="thin">
        <color theme="6" tint="0.39994506668294322"/>
      </top>
      <bottom style="thin">
        <color theme="6" tint="0.39994506668294322"/>
      </bottom>
      <diagonal/>
    </border>
    <border>
      <left/>
      <right/>
      <top style="thin">
        <color theme="6" tint="0.39994506668294322"/>
      </top>
      <bottom style="thin">
        <color theme="6" tint="0.39994506668294322"/>
      </bottom>
      <diagonal/>
    </border>
    <border>
      <left/>
      <right style="medium">
        <color theme="6" tint="0.39994506668294322"/>
      </right>
      <top style="thin">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diagonal/>
    </border>
    <border>
      <left style="medium">
        <color theme="6" tint="0.39994506668294322"/>
      </left>
      <right style="thin">
        <color theme="6" tint="0.39994506668294322"/>
      </right>
      <top/>
      <bottom style="thin">
        <color theme="6" tint="0.39994506668294322"/>
      </bottom>
      <diagonal/>
    </border>
    <border>
      <left style="medium">
        <color theme="6" tint="0.39994506668294322"/>
      </left>
      <right/>
      <top style="thin">
        <color theme="6" tint="0.39994506668294322"/>
      </top>
      <bottom style="thin">
        <color theme="6" tint="0.39994506668294322"/>
      </bottom>
      <diagonal/>
    </border>
    <border>
      <left/>
      <right style="thin">
        <color theme="6" tint="0.39994506668294322"/>
      </right>
      <top style="thin">
        <color theme="6" tint="0.39994506668294322"/>
      </top>
      <bottom style="thin">
        <color theme="6" tint="0.39994506668294322"/>
      </bottom>
      <diagonal/>
    </border>
    <border>
      <left style="thin">
        <color theme="6" tint="0.39994506668294322"/>
      </left>
      <right style="thin">
        <color theme="6" tint="0.39994506668294322"/>
      </right>
      <top style="thin">
        <color theme="6" tint="0.39994506668294322"/>
      </top>
      <bottom/>
      <diagonal/>
    </border>
    <border>
      <left style="thin">
        <color theme="6" tint="0.39994506668294322"/>
      </left>
      <right style="medium">
        <color theme="6" tint="0.39994506668294322"/>
      </right>
      <top style="thin">
        <color theme="6" tint="0.39994506668294322"/>
      </top>
      <bottom/>
      <diagonal/>
    </border>
    <border>
      <left style="thin">
        <color theme="6" tint="0.39994506668294322"/>
      </left>
      <right style="thin">
        <color theme="6" tint="0.39994506668294322"/>
      </right>
      <top/>
      <bottom style="thin">
        <color theme="6" tint="0.39994506668294322"/>
      </bottom>
      <diagonal/>
    </border>
    <border>
      <left style="thin">
        <color theme="6" tint="0.39994506668294322"/>
      </left>
      <right/>
      <top/>
      <bottom style="thin">
        <color theme="6" tint="0.39994506668294322"/>
      </bottom>
      <diagonal/>
    </border>
    <border>
      <left/>
      <right style="thin">
        <color theme="6" tint="0.39994506668294322"/>
      </right>
      <top style="thin">
        <color theme="6" tint="0.39994506668294322"/>
      </top>
      <bottom/>
      <diagonal/>
    </border>
    <border>
      <left style="medium">
        <color indexed="64"/>
      </left>
      <right/>
      <top/>
      <bottom/>
      <diagonal/>
    </border>
    <border>
      <left style="thin">
        <color indexed="64"/>
      </left>
      <right/>
      <top/>
      <bottom style="thin">
        <color indexed="64"/>
      </bottom>
      <diagonal/>
    </border>
    <border>
      <left style="thin">
        <color theme="6" tint="0.39994506668294322"/>
      </left>
      <right style="medium">
        <color theme="6" tint="0.39994506668294322"/>
      </right>
      <top/>
      <bottom style="thin">
        <color theme="6" tint="0.39994506668294322"/>
      </bottom>
      <diagonal/>
    </border>
    <border>
      <left style="thin">
        <color theme="6" tint="0.39994506668294322"/>
      </left>
      <right/>
      <top style="thin">
        <color theme="6" tint="0.39994506668294322"/>
      </top>
      <bottom/>
      <diagonal/>
    </border>
    <border>
      <left style="medium">
        <color theme="6" tint="0.39994506668294322"/>
      </left>
      <right style="thin">
        <color theme="6" tint="0.39994506668294322"/>
      </right>
      <top style="thin">
        <color theme="6" tint="0.39994506668294322"/>
      </top>
      <bottom style="medium">
        <color theme="6" tint="0.39991454817346722"/>
      </bottom>
      <diagonal/>
    </border>
    <border>
      <left style="thin">
        <color theme="6" tint="0.39994506668294322"/>
      </left>
      <right style="thin">
        <color theme="6" tint="0.39994506668294322"/>
      </right>
      <top style="thin">
        <color theme="6" tint="0.39994506668294322"/>
      </top>
      <bottom style="medium">
        <color theme="6" tint="0.39991454817346722"/>
      </bottom>
      <diagonal/>
    </border>
    <border>
      <left style="thin">
        <color theme="6" tint="0.39994506668294322"/>
      </left>
      <right/>
      <top style="thin">
        <color theme="6" tint="0.39994506668294322"/>
      </top>
      <bottom style="medium">
        <color theme="6" tint="0.39991454817346722"/>
      </bottom>
      <diagonal/>
    </border>
    <border>
      <left/>
      <right/>
      <top style="thin">
        <color theme="6" tint="0.39994506668294322"/>
      </top>
      <bottom style="medium">
        <color theme="6" tint="0.39991454817346722"/>
      </bottom>
      <diagonal/>
    </border>
    <border>
      <left/>
      <right style="medium">
        <color theme="6" tint="0.39994506668294322"/>
      </right>
      <top style="thin">
        <color theme="6" tint="0.39994506668294322"/>
      </top>
      <bottom style="medium">
        <color theme="6" tint="0.39991454817346722"/>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4">
    <xf numFmtId="0" fontId="0"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3" fillId="0" borderId="0"/>
    <xf numFmtId="0" fontId="4" fillId="0" borderId="0"/>
    <xf numFmtId="0" fontId="4" fillId="0" borderId="0"/>
    <xf numFmtId="9" fontId="3" fillId="0" borderId="0" applyFont="0" applyFill="0" applyBorder="0" applyAlignment="0" applyProtection="0"/>
    <xf numFmtId="0" fontId="4" fillId="0" borderId="0"/>
    <xf numFmtId="164" fontId="1" fillId="0" borderId="0" applyFont="0" applyFill="0" applyBorder="0" applyAlignment="0" applyProtection="0"/>
    <xf numFmtId="0" fontId="3" fillId="0" borderId="0"/>
    <xf numFmtId="43" fontId="1" fillId="0" borderId="0" applyFont="0" applyFill="0" applyBorder="0" applyAlignment="0" applyProtection="0"/>
    <xf numFmtId="0" fontId="1" fillId="0" borderId="0"/>
    <xf numFmtId="43" fontId="3" fillId="0" borderId="0" applyFont="0" applyFill="0" applyBorder="0" applyAlignment="0" applyProtection="0"/>
    <xf numFmtId="43" fontId="3" fillId="0" borderId="0" applyFont="0" applyFill="0" applyBorder="0" applyAlignment="0" applyProtection="0"/>
    <xf numFmtId="0" fontId="8" fillId="0" borderId="0"/>
    <xf numFmtId="0" fontId="10" fillId="0" borderId="8" applyNumberFormat="0" applyFill="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cellStyleXfs>
  <cellXfs count="34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6" fillId="0" borderId="0" xfId="0" applyFont="1"/>
    <xf numFmtId="14" fontId="0" fillId="0" borderId="1" xfId="0" applyNumberFormat="1" applyBorder="1" applyAlignment="1">
      <alignment horizontal="center" vertical="center"/>
    </xf>
    <xf numFmtId="0" fontId="0" fillId="6" borderId="1" xfId="0" applyFill="1" applyBorder="1" applyAlignment="1">
      <alignment horizontal="center" vertical="center"/>
    </xf>
    <xf numFmtId="3" fontId="0" fillId="0" borderId="1" xfId="0" applyNumberFormat="1" applyBorder="1" applyAlignment="1">
      <alignment horizontal="center" vertical="center"/>
    </xf>
    <xf numFmtId="3" fontId="0" fillId="6" borderId="1" xfId="0" applyNumberFormat="1" applyFill="1" applyBorder="1" applyAlignment="1">
      <alignment horizontal="center" vertical="center"/>
    </xf>
    <xf numFmtId="9" fontId="0" fillId="0" borderId="1" xfId="0" applyNumberFormat="1" applyBorder="1" applyAlignment="1">
      <alignment horizontal="center" vertical="center"/>
    </xf>
    <xf numFmtId="3" fontId="0" fillId="0" borderId="0" xfId="0" applyNumberFormat="1" applyAlignment="1">
      <alignment horizontal="center" vertical="center"/>
    </xf>
    <xf numFmtId="0" fontId="6" fillId="2" borderId="1" xfId="0" applyFont="1" applyFill="1" applyBorder="1" applyAlignment="1">
      <alignment horizontal="center" vertical="center"/>
    </xf>
    <xf numFmtId="0" fontId="6" fillId="2" borderId="0" xfId="0" applyFont="1" applyFill="1" applyAlignment="1">
      <alignment horizontal="center" vertical="center"/>
    </xf>
    <xf numFmtId="0" fontId="0" fillId="2" borderId="0" xfId="0" applyFill="1"/>
    <xf numFmtId="0" fontId="0" fillId="2" borderId="0" xfId="0" applyFill="1" applyAlignment="1">
      <alignment horizontal="center"/>
    </xf>
    <xf numFmtId="0" fontId="9" fillId="2" borderId="1" xfId="0" applyFont="1" applyFill="1" applyBorder="1" applyAlignment="1" applyProtection="1">
      <alignment horizontal="center" vertical="center"/>
      <protection locked="0" hidden="1"/>
    </xf>
    <xf numFmtId="0" fontId="6" fillId="2" borderId="0" xfId="0" applyFont="1" applyFill="1"/>
    <xf numFmtId="0" fontId="7" fillId="8" borderId="1" xfId="0" applyFont="1" applyFill="1" applyBorder="1" applyAlignment="1">
      <alignment horizontal="center"/>
    </xf>
    <xf numFmtId="0" fontId="6" fillId="0" borderId="1" xfId="0" applyFont="1" applyBorder="1"/>
    <xf numFmtId="167" fontId="6" fillId="2" borderId="0" xfId="9" applyNumberFormat="1" applyFont="1" applyFill="1" applyBorder="1"/>
    <xf numFmtId="10" fontId="6" fillId="2" borderId="0" xfId="1" applyNumberFormat="1" applyFont="1" applyFill="1" applyBorder="1"/>
    <xf numFmtId="165" fontId="12" fillId="2" borderId="0" xfId="0" applyNumberFormat="1" applyFont="1" applyFill="1" applyAlignment="1">
      <alignment horizontal="center"/>
    </xf>
    <xf numFmtId="0" fontId="6" fillId="2" borderId="0" xfId="0" applyFont="1" applyFill="1" applyAlignment="1">
      <alignment horizontal="center"/>
    </xf>
    <xf numFmtId="0" fontId="9" fillId="2" borderId="0" xfId="0" applyFont="1" applyFill="1" applyAlignment="1" applyProtection="1">
      <alignment horizontal="center" vertical="center"/>
      <protection locked="0" hidden="1"/>
    </xf>
    <xf numFmtId="166" fontId="9" fillId="2" borderId="0" xfId="0" applyNumberFormat="1" applyFont="1" applyFill="1" applyAlignment="1" applyProtection="1">
      <alignment horizontal="center" vertical="center"/>
      <protection locked="0" hidden="1"/>
    </xf>
    <xf numFmtId="0" fontId="5" fillId="4" borderId="0" xfId="16" applyFont="1" applyFill="1" applyBorder="1" applyAlignment="1" applyProtection="1">
      <alignment horizontal="center" vertical="center"/>
      <protection hidden="1"/>
    </xf>
    <xf numFmtId="167" fontId="6" fillId="4" borderId="0" xfId="9" applyNumberFormat="1" applyFont="1" applyFill="1" applyBorder="1"/>
    <xf numFmtId="9" fontId="6" fillId="2" borderId="0" xfId="0" applyNumberFormat="1" applyFont="1" applyFill="1"/>
    <xf numFmtId="0" fontId="6" fillId="2" borderId="0" xfId="0" applyFont="1" applyFill="1" applyAlignment="1">
      <alignment vertical="center" wrapText="1"/>
    </xf>
    <xf numFmtId="0" fontId="13" fillId="4" borderId="0" xfId="16" applyFont="1" applyFill="1" applyBorder="1" applyAlignment="1" applyProtection="1">
      <alignment horizontal="center" vertical="center"/>
      <protection hidden="1"/>
    </xf>
    <xf numFmtId="0" fontId="17" fillId="2" borderId="0" xfId="0" applyFont="1" applyFill="1" applyAlignment="1">
      <alignment horizontal="center" vertical="center"/>
    </xf>
    <xf numFmtId="0" fontId="17" fillId="2" borderId="0" xfId="0" applyFont="1" applyFill="1" applyAlignment="1">
      <alignment horizontal="center" vertical="center" wrapText="1"/>
    </xf>
    <xf numFmtId="0" fontId="17" fillId="7" borderId="1" xfId="0" applyFont="1" applyFill="1" applyBorder="1" applyAlignment="1">
      <alignment horizontal="center" vertical="center" wrapText="1"/>
    </xf>
    <xf numFmtId="0" fontId="9" fillId="4" borderId="1" xfId="16" applyFont="1" applyFill="1" applyBorder="1" applyAlignment="1" applyProtection="1">
      <alignment horizontal="center" vertical="center"/>
      <protection hidden="1"/>
    </xf>
    <xf numFmtId="0" fontId="18" fillId="2" borderId="0" xfId="0" applyFont="1" applyFill="1"/>
    <xf numFmtId="167" fontId="6" fillId="2" borderId="0" xfId="11" applyNumberFormat="1" applyFont="1" applyFill="1" applyAlignment="1">
      <alignment horizontal="right" vertical="center"/>
    </xf>
    <xf numFmtId="0" fontId="2" fillId="0" borderId="0" xfId="0" applyFont="1"/>
    <xf numFmtId="0" fontId="13" fillId="2" borderId="0" xfId="0" applyFont="1" applyFill="1" applyAlignment="1">
      <alignment horizontal="center" vertical="center"/>
    </xf>
    <xf numFmtId="0" fontId="6" fillId="0" borderId="1" xfId="0" applyFont="1" applyBorder="1" applyAlignment="1">
      <alignment horizontal="center" vertical="center"/>
    </xf>
    <xf numFmtId="0" fontId="6" fillId="9" borderId="0" xfId="0" applyFont="1" applyFill="1"/>
    <xf numFmtId="0" fontId="17" fillId="10" borderId="12" xfId="0" applyFont="1" applyFill="1" applyBorder="1" applyAlignment="1">
      <alignment horizontal="center" vertical="center"/>
    </xf>
    <xf numFmtId="0" fontId="17" fillId="10" borderId="12" xfId="0" applyFont="1" applyFill="1" applyBorder="1" applyAlignment="1">
      <alignment horizontal="center" vertical="center" wrapText="1"/>
    </xf>
    <xf numFmtId="0" fontId="17" fillId="10" borderId="16" xfId="0" applyFont="1" applyFill="1" applyBorder="1" applyAlignment="1">
      <alignment horizontal="center" vertical="center" wrapText="1"/>
    </xf>
    <xf numFmtId="0" fontId="11" fillId="2" borderId="1" xfId="0" applyFont="1" applyFill="1" applyBorder="1" applyAlignment="1">
      <alignment horizontal="center" vertical="center" wrapText="1"/>
    </xf>
    <xf numFmtId="9" fontId="20" fillId="0" borderId="1" xfId="0" applyNumberFormat="1" applyFont="1" applyBorder="1" applyAlignment="1">
      <alignment horizontal="center" vertical="center"/>
    </xf>
    <xf numFmtId="9" fontId="20"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9" fontId="20" fillId="2" borderId="1" xfId="0" applyNumberFormat="1" applyFont="1" applyFill="1" applyBorder="1" applyAlignment="1">
      <alignment horizontal="center" vertical="center"/>
    </xf>
    <xf numFmtId="0" fontId="19" fillId="0" borderId="1" xfId="0" applyFont="1" applyBorder="1" applyAlignment="1">
      <alignment horizontal="center" vertical="center" wrapText="1"/>
    </xf>
    <xf numFmtId="0" fontId="9" fillId="0" borderId="0" xfId="17" applyFont="1" applyAlignment="1">
      <alignment horizontal="left" vertical="top"/>
    </xf>
    <xf numFmtId="167" fontId="6" fillId="4" borderId="1" xfId="9" applyNumberFormat="1" applyFont="1" applyFill="1" applyBorder="1" applyProtection="1">
      <protection hidden="1"/>
    </xf>
    <xf numFmtId="167" fontId="6" fillId="2" borderId="1" xfId="0" applyNumberFormat="1" applyFont="1" applyFill="1" applyBorder="1" applyProtection="1">
      <protection hidden="1"/>
    </xf>
    <xf numFmtId="167" fontId="6" fillId="2" borderId="0" xfId="0" applyNumberFormat="1" applyFont="1" applyFill="1" applyProtection="1">
      <protection hidden="1"/>
    </xf>
    <xf numFmtId="167" fontId="13" fillId="2" borderId="0" xfId="0" applyNumberFormat="1" applyFont="1" applyFill="1" applyProtection="1">
      <protection hidden="1"/>
    </xf>
    <xf numFmtId="0" fontId="6" fillId="2" borderId="0" xfId="0" applyFont="1" applyFill="1" applyProtection="1">
      <protection hidden="1"/>
    </xf>
    <xf numFmtId="0" fontId="9" fillId="0" borderId="0" xfId="17" applyFont="1" applyAlignment="1" applyProtection="1">
      <alignment horizontal="left" vertical="top"/>
      <protection hidden="1"/>
    </xf>
    <xf numFmtId="0" fontId="6" fillId="2" borderId="0" xfId="0" applyFont="1" applyFill="1" applyAlignment="1" applyProtection="1">
      <alignment horizontal="center"/>
      <protection hidden="1"/>
    </xf>
    <xf numFmtId="0" fontId="17" fillId="7" borderId="1" xfId="0" applyFont="1" applyFill="1" applyBorder="1" applyAlignment="1" applyProtection="1">
      <alignment horizontal="center" vertical="center"/>
      <protection hidden="1"/>
    </xf>
    <xf numFmtId="0" fontId="6" fillId="2" borderId="1" xfId="0" applyFont="1" applyFill="1" applyBorder="1" applyAlignment="1" applyProtection="1">
      <alignment horizontal="center" vertical="center"/>
      <protection hidden="1"/>
    </xf>
    <xf numFmtId="0" fontId="7" fillId="2" borderId="0" xfId="0" applyFont="1" applyFill="1" applyAlignment="1" applyProtection="1">
      <alignment horizontal="left"/>
      <protection hidden="1"/>
    </xf>
    <xf numFmtId="167" fontId="7" fillId="2" borderId="0" xfId="9" applyNumberFormat="1" applyFont="1" applyFill="1" applyBorder="1" applyProtection="1">
      <protection hidden="1"/>
    </xf>
    <xf numFmtId="0" fontId="6" fillId="2" borderId="0" xfId="0" applyFont="1" applyFill="1" applyAlignment="1" applyProtection="1">
      <alignment horizontal="left"/>
      <protection locked="0"/>
    </xf>
    <xf numFmtId="0" fontId="6" fillId="2" borderId="0" xfId="0" applyFont="1" applyFill="1" applyAlignment="1" applyProtection="1">
      <alignment horizontal="left" vertical="center"/>
      <protection locked="0"/>
    </xf>
    <xf numFmtId="9" fontId="6" fillId="2" borderId="1" xfId="0" applyNumberFormat="1" applyFont="1" applyFill="1" applyBorder="1" applyProtection="1">
      <protection locked="0"/>
    </xf>
    <xf numFmtId="0" fontId="5" fillId="0" borderId="26" xfId="17" applyFont="1" applyBorder="1" applyAlignment="1" applyProtection="1">
      <alignment horizontal="left" vertical="center" wrapText="1"/>
      <protection hidden="1"/>
    </xf>
    <xf numFmtId="14" fontId="5" fillId="0" borderId="27" xfId="17" applyNumberFormat="1" applyFont="1" applyBorder="1" applyAlignment="1" applyProtection="1">
      <alignment vertical="center" wrapText="1"/>
      <protection hidden="1"/>
    </xf>
    <xf numFmtId="14" fontId="5" fillId="0" borderId="27" xfId="17" applyNumberFormat="1" applyFont="1" applyBorder="1" applyAlignment="1" applyProtection="1">
      <alignment horizontal="right" vertical="center" wrapText="1"/>
      <protection hidden="1"/>
    </xf>
    <xf numFmtId="14" fontId="5" fillId="0" borderId="28" xfId="17" applyNumberFormat="1" applyFont="1" applyBorder="1" applyAlignment="1" applyProtection="1">
      <alignment vertical="center" wrapText="1"/>
      <protection hidden="1"/>
    </xf>
    <xf numFmtId="0" fontId="5" fillId="0" borderId="29" xfId="17" applyFont="1" applyBorder="1" applyAlignment="1" applyProtection="1">
      <alignment horizontal="left" vertical="center" wrapText="1"/>
      <protection hidden="1"/>
    </xf>
    <xf numFmtId="0" fontId="17" fillId="7" borderId="0" xfId="0" applyFont="1" applyFill="1" applyAlignment="1">
      <alignment horizontal="center" vertical="center"/>
    </xf>
    <xf numFmtId="0" fontId="17" fillId="7" borderId="1" xfId="0" applyFont="1" applyFill="1" applyBorder="1" applyAlignment="1">
      <alignment horizontal="center" vertical="center"/>
    </xf>
    <xf numFmtId="0" fontId="6" fillId="2" borderId="0" xfId="0" applyFont="1" applyFill="1" applyAlignment="1" applyProtection="1">
      <alignment wrapText="1"/>
      <protection hidden="1"/>
    </xf>
    <xf numFmtId="0" fontId="6" fillId="2" borderId="0" xfId="0" applyFont="1" applyFill="1" applyAlignment="1" applyProtection="1">
      <alignment vertical="center" wrapText="1"/>
      <protection hidden="1"/>
    </xf>
    <xf numFmtId="0" fontId="6" fillId="2" borderId="0" xfId="0" applyFont="1" applyFill="1" applyAlignment="1" applyProtection="1">
      <alignment horizontal="left" wrapText="1"/>
      <protection hidden="1"/>
    </xf>
    <xf numFmtId="167" fontId="6" fillId="2" borderId="0" xfId="9" applyNumberFormat="1" applyFont="1" applyFill="1" applyBorder="1" applyAlignment="1" applyProtection="1">
      <protection hidden="1"/>
    </xf>
    <xf numFmtId="0" fontId="21" fillId="2" borderId="0" xfId="0" applyFont="1" applyFill="1" applyAlignment="1" applyProtection="1">
      <alignment horizontal="left"/>
      <protection hidden="1"/>
    </xf>
    <xf numFmtId="0" fontId="6" fillId="2" borderId="3" xfId="0" applyFont="1" applyFill="1" applyBorder="1" applyAlignment="1" applyProtection="1">
      <alignment horizontal="center" vertical="center"/>
      <protection hidden="1"/>
    </xf>
    <xf numFmtId="0" fontId="9" fillId="6" borderId="1" xfId="0" applyFont="1" applyFill="1" applyBorder="1" applyAlignment="1" applyProtection="1">
      <alignment horizontal="center" vertical="center"/>
      <protection locked="0" hidden="1"/>
    </xf>
    <xf numFmtId="166" fontId="9" fillId="6" borderId="1" xfId="0" applyNumberFormat="1" applyFont="1" applyFill="1" applyBorder="1" applyAlignment="1" applyProtection="1">
      <alignment horizontal="center" vertical="center"/>
      <protection locked="0" hidden="1"/>
    </xf>
    <xf numFmtId="0" fontId="6" fillId="6" borderId="1" xfId="0" applyFont="1" applyFill="1" applyBorder="1" applyAlignment="1" applyProtection="1">
      <alignment horizontal="center" vertical="center"/>
      <protection locked="0"/>
    </xf>
    <xf numFmtId="0" fontId="13" fillId="2" borderId="0" xfId="0" applyFont="1" applyFill="1" applyAlignment="1">
      <alignment horizontal="center" vertical="center" wrapText="1"/>
    </xf>
    <xf numFmtId="167" fontId="6" fillId="2" borderId="1" xfId="0" applyNumberFormat="1" applyFont="1" applyFill="1" applyBorder="1"/>
    <xf numFmtId="9" fontId="19"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2" fillId="2" borderId="1" xfId="0" applyFont="1" applyFill="1" applyBorder="1" applyAlignment="1">
      <alignment horizontal="center" vertical="center" wrapText="1"/>
    </xf>
    <xf numFmtId="0" fontId="24" fillId="2" borderId="1" xfId="0" applyFont="1" applyFill="1" applyBorder="1" applyAlignment="1">
      <alignment horizontal="left" vertical="center" wrapText="1"/>
    </xf>
    <xf numFmtId="0" fontId="6" fillId="2" borderId="1" xfId="0" applyFont="1" applyFill="1" applyBorder="1" applyAlignment="1">
      <alignment horizontal="left" vertical="center"/>
    </xf>
    <xf numFmtId="0" fontId="9" fillId="2" borderId="0" xfId="0" applyFont="1" applyFill="1" applyAlignment="1">
      <alignment horizontal="left" vertical="center"/>
    </xf>
    <xf numFmtId="0" fontId="9" fillId="5" borderId="0" xfId="0" applyFont="1" applyFill="1" applyAlignment="1">
      <alignment horizontal="left" vertical="center"/>
    </xf>
    <xf numFmtId="10" fontId="6" fillId="2" borderId="0" xfId="0" applyNumberFormat="1" applyFont="1" applyFill="1"/>
    <xf numFmtId="9" fontId="6" fillId="2" borderId="0" xfId="1" applyFont="1" applyFill="1"/>
    <xf numFmtId="167" fontId="6" fillId="2" borderId="0" xfId="0" applyNumberFormat="1" applyFont="1" applyFill="1"/>
    <xf numFmtId="0" fontId="6" fillId="2" borderId="1" xfId="0" applyFont="1" applyFill="1" applyBorder="1"/>
    <xf numFmtId="167" fontId="6" fillId="2" borderId="1" xfId="9" applyNumberFormat="1" applyFont="1" applyFill="1" applyBorder="1"/>
    <xf numFmtId="165" fontId="6" fillId="2" borderId="0" xfId="0" applyNumberFormat="1" applyFont="1" applyFill="1"/>
    <xf numFmtId="0" fontId="6" fillId="11" borderId="1" xfId="0" applyFont="1" applyFill="1" applyBorder="1"/>
    <xf numFmtId="0" fontId="13" fillId="11" borderId="1" xfId="0" applyFont="1" applyFill="1" applyBorder="1" applyAlignment="1">
      <alignment horizontal="center"/>
    </xf>
    <xf numFmtId="0" fontId="7" fillId="8" borderId="1" xfId="0" applyFont="1" applyFill="1" applyBorder="1"/>
    <xf numFmtId="0" fontId="5" fillId="5" borderId="1" xfId="0" applyFont="1" applyFill="1" applyBorder="1" applyAlignment="1">
      <alignment horizontal="center" vertical="center"/>
    </xf>
    <xf numFmtId="9" fontId="0" fillId="0" borderId="0" xfId="0" applyNumberFormat="1"/>
    <xf numFmtId="0" fontId="6" fillId="2" borderId="12" xfId="0" applyFont="1" applyFill="1" applyBorder="1" applyAlignment="1">
      <alignment vertical="center"/>
    </xf>
    <xf numFmtId="0" fontId="6" fillId="2" borderId="1" xfId="0" applyFont="1" applyFill="1" applyBorder="1" applyAlignment="1">
      <alignment vertical="center"/>
    </xf>
    <xf numFmtId="0" fontId="26" fillId="12" borderId="1" xfId="0" applyFont="1" applyFill="1" applyBorder="1" applyAlignment="1">
      <alignment horizontal="center"/>
    </xf>
    <xf numFmtId="0" fontId="17" fillId="12" borderId="1" xfId="0" applyFont="1" applyFill="1" applyBorder="1" applyAlignment="1">
      <alignment horizontal="center"/>
    </xf>
    <xf numFmtId="0" fontId="7" fillId="9" borderId="15" xfId="0" applyFont="1" applyFill="1" applyBorder="1"/>
    <xf numFmtId="0" fontId="25" fillId="12" borderId="1" xfId="0" applyFont="1" applyFill="1" applyBorder="1" applyAlignment="1">
      <alignment horizontal="center"/>
    </xf>
    <xf numFmtId="0" fontId="6" fillId="13" borderId="1" xfId="0" applyFont="1" applyFill="1" applyBorder="1"/>
    <xf numFmtId="0" fontId="6" fillId="13" borderId="1" xfId="0" applyFont="1" applyFill="1" applyBorder="1" applyAlignment="1">
      <alignment horizontal="left" vertical="center"/>
    </xf>
    <xf numFmtId="167" fontId="6" fillId="0" borderId="1" xfId="0" applyNumberFormat="1" applyFont="1" applyBorder="1"/>
    <xf numFmtId="0" fontId="27" fillId="2" borderId="1" xfId="0" applyFont="1" applyFill="1" applyBorder="1"/>
    <xf numFmtId="0" fontId="7" fillId="8" borderId="0" xfId="0" applyFont="1" applyFill="1" applyAlignment="1">
      <alignment horizontal="center"/>
    </xf>
    <xf numFmtId="167" fontId="6" fillId="2" borderId="1" xfId="9" applyNumberFormat="1" applyFont="1" applyFill="1" applyBorder="1" applyAlignment="1">
      <alignment horizontal="left" vertical="center"/>
    </xf>
    <xf numFmtId="0" fontId="9" fillId="0" borderId="20" xfId="17" applyFont="1" applyBorder="1" applyAlignment="1" applyProtection="1">
      <alignment horizontal="left" vertical="top" wrapText="1"/>
      <protection hidden="1"/>
    </xf>
    <xf numFmtId="0" fontId="9" fillId="0" borderId="21" xfId="17" applyFont="1" applyBorder="1" applyAlignment="1" applyProtection="1">
      <alignment horizontal="left" vertical="top" wrapText="1"/>
      <protection hidden="1"/>
    </xf>
    <xf numFmtId="0" fontId="9" fillId="0" borderId="22" xfId="17" applyFont="1" applyBorder="1" applyAlignment="1" applyProtection="1">
      <alignment horizontal="left" vertical="top" wrapText="1"/>
      <protection hidden="1"/>
    </xf>
    <xf numFmtId="0" fontId="5" fillId="0" borderId="21" xfId="17" applyFont="1" applyBorder="1" applyAlignment="1" applyProtection="1">
      <alignment horizontal="left" vertical="center" wrapText="1"/>
      <protection hidden="1"/>
    </xf>
    <xf numFmtId="0" fontId="28" fillId="2" borderId="0" xfId="0" applyFont="1" applyFill="1" applyAlignment="1">
      <alignment horizontal="center" vertical="center"/>
    </xf>
    <xf numFmtId="0" fontId="29" fillId="2" borderId="0" xfId="0" applyFont="1" applyFill="1" applyAlignment="1">
      <alignment horizontal="center" vertical="center"/>
    </xf>
    <xf numFmtId="0" fontId="9" fillId="0" borderId="21" xfId="17" applyFont="1" applyBorder="1" applyAlignment="1" applyProtection="1">
      <alignment vertical="center" wrapText="1"/>
      <protection hidden="1"/>
    </xf>
    <xf numFmtId="0" fontId="9" fillId="0" borderId="22" xfId="17" applyFont="1" applyBorder="1" applyAlignment="1" applyProtection="1">
      <alignment vertical="center" wrapText="1"/>
      <protection hidden="1"/>
    </xf>
    <xf numFmtId="9" fontId="26" fillId="12" borderId="1" xfId="0" applyNumberFormat="1" applyFont="1" applyFill="1" applyBorder="1" applyAlignment="1">
      <alignment horizontal="center" vertical="center" wrapText="1"/>
    </xf>
    <xf numFmtId="0" fontId="9" fillId="0" borderId="37" xfId="17" applyFont="1" applyBorder="1" applyAlignment="1" applyProtection="1">
      <alignment vertical="center" wrapText="1"/>
      <protection hidden="1"/>
    </xf>
    <xf numFmtId="0" fontId="9" fillId="0" borderId="38" xfId="17" applyFont="1" applyBorder="1" applyAlignment="1" applyProtection="1">
      <alignment vertical="center" wrapText="1"/>
      <protection hidden="1"/>
    </xf>
    <xf numFmtId="0" fontId="9" fillId="0" borderId="39" xfId="17" applyFont="1" applyBorder="1" applyAlignment="1" applyProtection="1">
      <alignment vertical="center" wrapText="1"/>
      <protection hidden="1"/>
    </xf>
    <xf numFmtId="0" fontId="5" fillId="0" borderId="23" xfId="17" applyFont="1" applyBorder="1" applyAlignment="1" applyProtection="1">
      <alignment vertical="center" wrapText="1"/>
      <protection hidden="1"/>
    </xf>
    <xf numFmtId="0" fontId="5" fillId="0" borderId="24" xfId="17" applyFont="1" applyBorder="1" applyAlignment="1" applyProtection="1">
      <alignment vertical="center"/>
      <protection hidden="1"/>
    </xf>
    <xf numFmtId="0" fontId="30" fillId="2" borderId="0" xfId="0" applyFont="1" applyFill="1"/>
    <xf numFmtId="0" fontId="13" fillId="2" borderId="0" xfId="0" applyFont="1" applyFill="1" applyAlignment="1">
      <alignment vertical="center"/>
    </xf>
    <xf numFmtId="0" fontId="17" fillId="7" borderId="7" xfId="0" applyFont="1" applyFill="1" applyBorder="1" applyAlignment="1">
      <alignment vertical="center"/>
    </xf>
    <xf numFmtId="0" fontId="17" fillId="7" borderId="0" xfId="0" applyFont="1" applyFill="1" applyAlignment="1">
      <alignment vertical="center"/>
    </xf>
    <xf numFmtId="0" fontId="31" fillId="2" borderId="0" xfId="0" applyFont="1" applyFill="1" applyAlignment="1">
      <alignment vertical="center" wrapText="1"/>
    </xf>
    <xf numFmtId="0" fontId="13" fillId="2" borderId="0" xfId="0" applyFont="1" applyFill="1" applyAlignment="1" applyProtection="1">
      <alignment horizontal="left" vertical="center"/>
      <protection hidden="1"/>
    </xf>
    <xf numFmtId="0" fontId="6" fillId="2" borderId="3" xfId="0" applyFont="1" applyFill="1" applyBorder="1" applyProtection="1">
      <protection hidden="1"/>
    </xf>
    <xf numFmtId="0" fontId="6" fillId="2" borderId="3" xfId="0" applyFont="1" applyFill="1" applyBorder="1" applyAlignment="1" applyProtection="1">
      <alignment vertical="center" wrapText="1"/>
      <protection hidden="1"/>
    </xf>
    <xf numFmtId="0" fontId="0" fillId="0" borderId="1" xfId="0" applyBorder="1" applyAlignment="1">
      <alignment horizontal="center"/>
    </xf>
    <xf numFmtId="0" fontId="0" fillId="0" borderId="1" xfId="0" applyBorder="1"/>
    <xf numFmtId="9" fontId="6" fillId="2" borderId="34" xfId="0" applyNumberFormat="1" applyFont="1" applyFill="1" applyBorder="1"/>
    <xf numFmtId="1" fontId="6" fillId="2" borderId="34" xfId="9" applyNumberFormat="1" applyFont="1" applyFill="1" applyBorder="1"/>
    <xf numFmtId="9" fontId="5" fillId="6" borderId="48" xfId="17" applyNumberFormat="1" applyFont="1" applyFill="1" applyBorder="1" applyAlignment="1" applyProtection="1">
      <alignment horizontal="center" vertical="center" wrapText="1"/>
      <protection hidden="1"/>
    </xf>
    <xf numFmtId="0" fontId="32" fillId="2" borderId="0" xfId="0" applyFont="1" applyFill="1" applyProtection="1">
      <protection locked="0"/>
    </xf>
    <xf numFmtId="0" fontId="33" fillId="2" borderId="1" xfId="0" applyFont="1" applyFill="1" applyBorder="1" applyAlignment="1">
      <alignment horizontal="center" vertical="center" wrapText="1"/>
    </xf>
    <xf numFmtId="0" fontId="6" fillId="2" borderId="1" xfId="0" applyFont="1" applyFill="1" applyBorder="1" applyProtection="1">
      <protection locked="0"/>
    </xf>
    <xf numFmtId="0" fontId="35" fillId="2" borderId="0" xfId="0" applyFont="1" applyFill="1" applyAlignment="1">
      <alignment horizontal="left" vertical="center"/>
    </xf>
    <xf numFmtId="0" fontId="35" fillId="5" borderId="0" xfId="0" applyFont="1" applyFill="1" applyAlignment="1">
      <alignment horizontal="left" vertical="center"/>
    </xf>
    <xf numFmtId="0" fontId="35" fillId="0" borderId="1" xfId="0" applyFont="1" applyBorder="1"/>
    <xf numFmtId="10" fontId="13" fillId="6" borderId="34" xfId="1" applyNumberFormat="1" applyFont="1" applyFill="1" applyBorder="1" applyAlignment="1" applyProtection="1">
      <alignment horizontal="center" vertical="center"/>
      <protection locked="0"/>
    </xf>
    <xf numFmtId="0" fontId="13" fillId="7" borderId="1" xfId="0" applyFont="1" applyFill="1" applyBorder="1" applyAlignment="1">
      <alignment horizontal="center" vertical="center" wrapText="1"/>
    </xf>
    <xf numFmtId="0" fontId="6" fillId="2" borderId="0" xfId="0" applyFont="1" applyFill="1" applyAlignment="1" applyProtection="1">
      <alignment horizontal="left" vertical="center" wrapText="1"/>
      <protection hidden="1"/>
    </xf>
    <xf numFmtId="0" fontId="6" fillId="2" borderId="0" xfId="0" applyFont="1" applyFill="1" applyAlignment="1" applyProtection="1">
      <alignment horizontal="left"/>
      <protection hidden="1"/>
    </xf>
    <xf numFmtId="164" fontId="6" fillId="2" borderId="0" xfId="11" applyNumberFormat="1" applyFont="1" applyFill="1" applyAlignment="1">
      <alignment horizontal="right" vertical="center"/>
    </xf>
    <xf numFmtId="0" fontId="38" fillId="2" borderId="1" xfId="0" applyFont="1" applyFill="1" applyBorder="1" applyAlignment="1">
      <alignment horizontal="left" vertical="center"/>
    </xf>
    <xf numFmtId="0" fontId="38" fillId="5" borderId="0" xfId="0" applyFont="1" applyFill="1" applyAlignment="1">
      <alignment horizontal="left" vertical="center"/>
    </xf>
    <xf numFmtId="0" fontId="38" fillId="2" borderId="0" xfId="0" applyFont="1" applyFill="1" applyAlignment="1">
      <alignment horizontal="left" vertical="center"/>
    </xf>
    <xf numFmtId="0" fontId="38" fillId="0" borderId="1" xfId="0" applyFont="1" applyBorder="1"/>
    <xf numFmtId="167" fontId="38" fillId="2" borderId="0" xfId="11" applyNumberFormat="1" applyFont="1" applyFill="1" applyAlignment="1">
      <alignment horizontal="right" vertical="center"/>
    </xf>
    <xf numFmtId="164" fontId="38" fillId="2" borderId="0" xfId="11" applyNumberFormat="1" applyFont="1" applyFill="1" applyAlignment="1">
      <alignment horizontal="right" vertical="center"/>
    </xf>
    <xf numFmtId="0" fontId="38" fillId="16" borderId="0" xfId="0" applyFont="1" applyFill="1"/>
    <xf numFmtId="164" fontId="6" fillId="2" borderId="5" xfId="9" applyFont="1" applyFill="1" applyBorder="1" applyAlignment="1" applyProtection="1">
      <alignment vertical="center"/>
      <protection hidden="1"/>
    </xf>
    <xf numFmtId="164" fontId="7" fillId="2" borderId="4" xfId="9" applyFont="1" applyFill="1" applyBorder="1" applyAlignment="1" applyProtection="1">
      <alignment vertical="center"/>
      <protection hidden="1"/>
    </xf>
    <xf numFmtId="164" fontId="13" fillId="2" borderId="11" xfId="9" applyFont="1" applyFill="1" applyBorder="1" applyProtection="1">
      <protection hidden="1"/>
    </xf>
    <xf numFmtId="0" fontId="26" fillId="2" borderId="0" xfId="0" applyFont="1" applyFill="1" applyAlignment="1" applyProtection="1">
      <alignment horizontal="left" vertical="center" wrapText="1"/>
      <protection hidden="1"/>
    </xf>
    <xf numFmtId="164" fontId="9" fillId="2" borderId="5" xfId="9" applyFont="1" applyFill="1" applyBorder="1" applyAlignment="1" applyProtection="1">
      <alignment horizontal="right" vertical="center"/>
      <protection hidden="1"/>
    </xf>
    <xf numFmtId="0" fontId="9" fillId="0" borderId="0" xfId="17" applyFont="1" applyAlignment="1">
      <alignment horizontal="left" vertical="center"/>
    </xf>
    <xf numFmtId="0" fontId="39" fillId="0" borderId="20" xfId="17" applyFont="1" applyBorder="1" applyAlignment="1" applyProtection="1">
      <alignment vertical="center" wrapText="1"/>
      <protection hidden="1"/>
    </xf>
    <xf numFmtId="0" fontId="7" fillId="2" borderId="7" xfId="0" applyFont="1" applyFill="1" applyBorder="1" applyAlignment="1" applyProtection="1">
      <alignment horizontal="left" vertical="center"/>
      <protection hidden="1"/>
    </xf>
    <xf numFmtId="0" fontId="7" fillId="2" borderId="5" xfId="0" applyFont="1" applyFill="1" applyBorder="1" applyAlignment="1" applyProtection="1">
      <alignment horizontal="left" vertical="center"/>
      <protection hidden="1"/>
    </xf>
    <xf numFmtId="0" fontId="7" fillId="2" borderId="50" xfId="0" applyFont="1" applyFill="1" applyBorder="1" applyProtection="1">
      <protection hidden="1"/>
    </xf>
    <xf numFmtId="0" fontId="7" fillId="2" borderId="58" xfId="0" applyFont="1" applyFill="1" applyBorder="1" applyProtection="1">
      <protection hidden="1"/>
    </xf>
    <xf numFmtId="0" fontId="26" fillId="2" borderId="0" xfId="0" applyFont="1" applyFill="1"/>
    <xf numFmtId="0" fontId="17" fillId="2" borderId="1" xfId="0" applyFont="1" applyFill="1" applyBorder="1" applyAlignment="1">
      <alignment horizontal="center"/>
    </xf>
    <xf numFmtId="0" fontId="7" fillId="2" borderId="0" xfId="0" applyFont="1" applyFill="1"/>
    <xf numFmtId="0" fontId="32" fillId="2" borderId="0" xfId="0" applyFont="1" applyFill="1"/>
    <xf numFmtId="0" fontId="41" fillId="8" borderId="0" xfId="0" applyFont="1" applyFill="1" applyAlignment="1">
      <alignment vertical="center"/>
    </xf>
    <xf numFmtId="0" fontId="42" fillId="0" borderId="0" xfId="0" applyFont="1" applyAlignment="1">
      <alignment vertical="center"/>
    </xf>
    <xf numFmtId="0" fontId="42" fillId="8" borderId="0" xfId="0" applyFont="1" applyFill="1" applyAlignment="1">
      <alignment vertical="center"/>
    </xf>
    <xf numFmtId="164" fontId="6" fillId="2" borderId="0" xfId="9" applyFont="1" applyFill="1"/>
    <xf numFmtId="164" fontId="6" fillId="2" borderId="0" xfId="0" applyNumberFormat="1" applyFont="1" applyFill="1"/>
    <xf numFmtId="168" fontId="7" fillId="2" borderId="0" xfId="0" applyNumberFormat="1" applyFont="1" applyFill="1"/>
    <xf numFmtId="0" fontId="43" fillId="2" borderId="0" xfId="0" applyFont="1" applyFill="1" applyAlignment="1">
      <alignment horizontal="center" vertical="top"/>
    </xf>
    <xf numFmtId="0" fontId="44" fillId="2" borderId="0" xfId="0" applyFont="1" applyFill="1" applyAlignment="1">
      <alignment horizontal="center" vertical="center"/>
    </xf>
    <xf numFmtId="0" fontId="43" fillId="2" borderId="0" xfId="0" applyFont="1" applyFill="1"/>
    <xf numFmtId="0" fontId="45" fillId="2" borderId="0" xfId="0" applyFont="1" applyFill="1" applyAlignment="1">
      <alignment horizontal="center" vertical="center"/>
    </xf>
    <xf numFmtId="0" fontId="46" fillId="2" borderId="0" xfId="0" applyFont="1" applyFill="1" applyAlignment="1">
      <alignment horizontal="center" vertical="center"/>
    </xf>
    <xf numFmtId="0" fontId="47" fillId="2" borderId="0" xfId="0" applyFont="1" applyFill="1" applyAlignment="1">
      <alignment horizontal="center" vertical="center"/>
    </xf>
    <xf numFmtId="0" fontId="43" fillId="2" borderId="0" xfId="0" applyFont="1" applyFill="1" applyAlignment="1">
      <alignment horizontal="justify" vertical="center"/>
    </xf>
    <xf numFmtId="0" fontId="43" fillId="2" borderId="0" xfId="0" applyFont="1" applyFill="1" applyAlignment="1">
      <alignment horizontal="left" vertical="center" indent="8"/>
    </xf>
    <xf numFmtId="0" fontId="49" fillId="2" borderId="0" xfId="0" applyFont="1" applyFill="1" applyAlignment="1">
      <alignment horizontal="justify" vertical="center"/>
    </xf>
    <xf numFmtId="0" fontId="49" fillId="2" borderId="0" xfId="0" applyFont="1" applyFill="1" applyAlignment="1">
      <alignment horizontal="left" vertical="center" wrapText="1"/>
    </xf>
    <xf numFmtId="0" fontId="50" fillId="2" borderId="0" xfId="0" applyFont="1" applyFill="1" applyAlignment="1">
      <alignment horizontal="justify" vertical="center"/>
    </xf>
    <xf numFmtId="0" fontId="48" fillId="2" borderId="0" xfId="0" applyFont="1" applyFill="1"/>
    <xf numFmtId="0" fontId="43" fillId="2" borderId="0" xfId="0" applyFont="1" applyFill="1" applyAlignment="1">
      <alignment wrapText="1"/>
    </xf>
    <xf numFmtId="0" fontId="6"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35" xfId="0" applyFont="1" applyFill="1" applyBorder="1" applyAlignment="1">
      <alignment horizontal="center" vertical="center"/>
    </xf>
    <xf numFmtId="0" fontId="6" fillId="2" borderId="36" xfId="0" applyFont="1" applyFill="1" applyBorder="1" applyAlignment="1">
      <alignment horizontal="center" vertical="center"/>
    </xf>
    <xf numFmtId="9" fontId="6" fillId="2" borderId="12" xfId="0" applyNumberFormat="1" applyFont="1" applyFill="1" applyBorder="1" applyAlignment="1">
      <alignment horizontal="center" vertical="center"/>
    </xf>
    <xf numFmtId="0" fontId="13" fillId="2" borderId="7" xfId="0" applyFont="1" applyFill="1" applyBorder="1" applyAlignment="1" applyProtection="1">
      <alignment horizontal="center" vertical="center" wrapText="1"/>
      <protection hidden="1"/>
    </xf>
    <xf numFmtId="0" fontId="13" fillId="2" borderId="0" xfId="0" applyFont="1" applyFill="1" applyAlignment="1" applyProtection="1">
      <alignment horizontal="center" vertical="center" wrapText="1"/>
      <protection hidden="1"/>
    </xf>
    <xf numFmtId="0" fontId="32" fillId="2" borderId="0" xfId="0" applyFont="1" applyFill="1" applyAlignment="1" applyProtection="1">
      <alignment horizontal="left" vertical="center" wrapText="1"/>
      <protection locked="0"/>
    </xf>
    <xf numFmtId="0" fontId="7" fillId="17" borderId="63" xfId="0" applyFont="1" applyFill="1" applyBorder="1" applyAlignment="1">
      <alignment horizontal="center"/>
    </xf>
    <xf numFmtId="0" fontId="7" fillId="17" borderId="64" xfId="0" applyFont="1" applyFill="1" applyBorder="1" applyAlignment="1">
      <alignment horizontal="center"/>
    </xf>
    <xf numFmtId="0" fontId="32" fillId="18" borderId="59" xfId="0" applyFont="1" applyFill="1" applyBorder="1" applyAlignment="1">
      <alignment horizontal="center" vertical="center"/>
    </xf>
    <xf numFmtId="0" fontId="32" fillId="18" borderId="60" xfId="0" applyFont="1" applyFill="1" applyBorder="1" applyAlignment="1">
      <alignment horizontal="center" vertical="center"/>
    </xf>
    <xf numFmtId="0" fontId="32" fillId="18" borderId="61" xfId="0" applyFont="1" applyFill="1" applyBorder="1" applyAlignment="1">
      <alignment horizontal="center" vertical="center"/>
    </xf>
    <xf numFmtId="0" fontId="32" fillId="18" borderId="62" xfId="0" applyFont="1" applyFill="1" applyBorder="1" applyAlignment="1">
      <alignment horizontal="center" vertical="center"/>
    </xf>
    <xf numFmtId="0" fontId="31" fillId="2" borderId="0" xfId="0" applyFont="1" applyFill="1" applyAlignment="1">
      <alignment horizontal="left" vertical="center"/>
    </xf>
    <xf numFmtId="0" fontId="6" fillId="2" borderId="0" xfId="0" applyFont="1" applyFill="1" applyAlignment="1">
      <alignment horizontal="left" vertical="center"/>
    </xf>
    <xf numFmtId="10" fontId="5" fillId="6" borderId="0" xfId="1" applyNumberFormat="1" applyFont="1" applyFill="1" applyAlignment="1" applyProtection="1">
      <alignment horizontal="left" vertical="center" wrapText="1"/>
      <protection locked="0"/>
    </xf>
    <xf numFmtId="0" fontId="6" fillId="6" borderId="1" xfId="0" applyFont="1" applyFill="1" applyBorder="1" applyAlignment="1" applyProtection="1">
      <alignment horizontal="center"/>
      <protection locked="0"/>
    </xf>
    <xf numFmtId="0" fontId="13" fillId="2" borderId="6" xfId="0" applyFont="1" applyFill="1" applyBorder="1" applyAlignment="1">
      <alignment horizontal="left" vertical="center"/>
    </xf>
    <xf numFmtId="0" fontId="6" fillId="6" borderId="13" xfId="0" applyFont="1" applyFill="1" applyBorder="1" applyAlignment="1" applyProtection="1">
      <alignment horizontal="center"/>
      <protection locked="0"/>
    </xf>
    <xf numFmtId="0" fontId="6" fillId="6" borderId="14" xfId="0" applyFont="1" applyFill="1" applyBorder="1" applyAlignment="1" applyProtection="1">
      <alignment horizontal="center"/>
      <protection locked="0"/>
    </xf>
    <xf numFmtId="0" fontId="6" fillId="6" borderId="15" xfId="0" applyFont="1" applyFill="1" applyBorder="1" applyAlignment="1" applyProtection="1">
      <alignment horizontal="center"/>
      <protection locked="0"/>
    </xf>
    <xf numFmtId="0" fontId="17" fillId="7" borderId="1" xfId="0" applyFont="1" applyFill="1" applyBorder="1" applyAlignment="1">
      <alignment horizontal="center" vertical="center"/>
    </xf>
    <xf numFmtId="0" fontId="6" fillId="6" borderId="0" xfId="0" applyFont="1" applyFill="1" applyAlignment="1" applyProtection="1">
      <alignment horizontal="left" vertical="center"/>
      <protection locked="0"/>
    </xf>
    <xf numFmtId="0" fontId="7" fillId="6" borderId="0" xfId="0" applyFont="1" applyFill="1" applyAlignment="1" applyProtection="1">
      <alignment horizontal="left" vertical="center"/>
      <protection locked="0"/>
    </xf>
    <xf numFmtId="0" fontId="6" fillId="2" borderId="0" xfId="0" applyFont="1" applyFill="1" applyAlignment="1">
      <alignment horizontal="left"/>
    </xf>
    <xf numFmtId="164" fontId="13" fillId="6" borderId="0" xfId="9" applyFont="1" applyFill="1" applyAlignment="1" applyProtection="1">
      <alignment horizontal="left" vertical="center"/>
      <protection locked="0"/>
    </xf>
    <xf numFmtId="0" fontId="17" fillId="7" borderId="7" xfId="0" applyFont="1" applyFill="1" applyBorder="1" applyAlignment="1">
      <alignment horizontal="center" vertical="center"/>
    </xf>
    <xf numFmtId="0" fontId="17" fillId="7" borderId="0" xfId="0" applyFont="1" applyFill="1" applyAlignment="1">
      <alignment horizontal="center" vertical="center"/>
    </xf>
    <xf numFmtId="0" fontId="13" fillId="2" borderId="6" xfId="0" applyFont="1" applyFill="1" applyBorder="1" applyAlignment="1" applyProtection="1">
      <alignment horizontal="left" vertical="center"/>
      <protection hidden="1"/>
    </xf>
    <xf numFmtId="0" fontId="13" fillId="2" borderId="0" xfId="0" applyFont="1" applyFill="1" applyAlignment="1" applyProtection="1">
      <alignment horizontal="left" vertical="center"/>
      <protection hidden="1"/>
    </xf>
    <xf numFmtId="0" fontId="6" fillId="2" borderId="7" xfId="0" applyFont="1" applyFill="1" applyBorder="1" applyAlignment="1" applyProtection="1">
      <alignment horizontal="left" vertical="center" wrapText="1"/>
      <protection hidden="1"/>
    </xf>
    <xf numFmtId="0" fontId="6" fillId="2" borderId="0" xfId="0" applyFont="1" applyFill="1" applyAlignment="1" applyProtection="1">
      <alignment horizontal="left" vertical="center" wrapText="1"/>
      <protection hidden="1"/>
    </xf>
    <xf numFmtId="164" fontId="6" fillId="2" borderId="5" xfId="9" applyFont="1" applyFill="1" applyBorder="1" applyAlignment="1" applyProtection="1">
      <alignment horizontal="center" vertical="center"/>
      <protection hidden="1"/>
    </xf>
    <xf numFmtId="0" fontId="13" fillId="2" borderId="9" xfId="0" applyFont="1" applyFill="1" applyBorder="1" applyAlignment="1" applyProtection="1">
      <alignment horizontal="left"/>
      <protection hidden="1"/>
    </xf>
    <xf numFmtId="0" fontId="13" fillId="2" borderId="10" xfId="0" applyFont="1" applyFill="1" applyBorder="1" applyAlignment="1" applyProtection="1">
      <alignment horizontal="left"/>
      <protection hidden="1"/>
    </xf>
    <xf numFmtId="0" fontId="6" fillId="2" borderId="7" xfId="0" applyFont="1" applyFill="1" applyBorder="1" applyAlignment="1" applyProtection="1">
      <alignment horizontal="left" vertical="center"/>
      <protection hidden="1"/>
    </xf>
    <xf numFmtId="0" fontId="6" fillId="2" borderId="0" xfId="0" applyFont="1" applyFill="1" applyAlignment="1" applyProtection="1">
      <alignment horizontal="left" vertical="center"/>
      <protection hidden="1"/>
    </xf>
    <xf numFmtId="0" fontId="7" fillId="2" borderId="2" xfId="0" applyFont="1" applyFill="1" applyBorder="1" applyAlignment="1" applyProtection="1">
      <alignment horizontal="left" vertical="center"/>
      <protection hidden="1"/>
    </xf>
    <xf numFmtId="0" fontId="7" fillId="2" borderId="3" xfId="0" applyFont="1" applyFill="1" applyBorder="1" applyAlignment="1" applyProtection="1">
      <alignment horizontal="left" vertical="center"/>
      <protection hidden="1"/>
    </xf>
    <xf numFmtId="0" fontId="6" fillId="2" borderId="13" xfId="0" applyFont="1" applyFill="1" applyBorder="1" applyAlignment="1" applyProtection="1">
      <alignment horizontal="center"/>
      <protection hidden="1"/>
    </xf>
    <xf numFmtId="0" fontId="6" fillId="2" borderId="14" xfId="0" applyFont="1" applyFill="1" applyBorder="1" applyAlignment="1" applyProtection="1">
      <alignment horizontal="center"/>
      <protection hidden="1"/>
    </xf>
    <xf numFmtId="0" fontId="6" fillId="2" borderId="15" xfId="0" applyFont="1" applyFill="1" applyBorder="1" applyAlignment="1" applyProtection="1">
      <alignment horizontal="center"/>
      <protection hidden="1"/>
    </xf>
    <xf numFmtId="0" fontId="7" fillId="2" borderId="4" xfId="0" applyFont="1" applyFill="1" applyBorder="1" applyAlignment="1" applyProtection="1">
      <alignment horizontal="left" vertical="center"/>
      <protection hidden="1"/>
    </xf>
    <xf numFmtId="0" fontId="7" fillId="2" borderId="7" xfId="0" applyFont="1" applyFill="1" applyBorder="1" applyAlignment="1" applyProtection="1">
      <alignment horizontal="left" vertical="center"/>
      <protection hidden="1"/>
    </xf>
    <xf numFmtId="0" fontId="7" fillId="2" borderId="5" xfId="0" applyFont="1" applyFill="1" applyBorder="1" applyAlignment="1" applyProtection="1">
      <alignment horizontal="left" vertical="center"/>
      <protection hidden="1"/>
    </xf>
    <xf numFmtId="0" fontId="6" fillId="2" borderId="1" xfId="0" applyFont="1" applyFill="1" applyBorder="1" applyAlignment="1" applyProtection="1">
      <alignment horizontal="center"/>
      <protection hidden="1"/>
    </xf>
    <xf numFmtId="0" fontId="6" fillId="2" borderId="0" xfId="0" applyFont="1" applyFill="1" applyAlignment="1" applyProtection="1">
      <alignment wrapText="1"/>
      <protection hidden="1"/>
    </xf>
    <xf numFmtId="0" fontId="6" fillId="2" borderId="0" xfId="0" applyFont="1" applyFill="1" applyAlignment="1" applyProtection="1">
      <alignment horizontal="center" vertical="center"/>
      <protection hidden="1"/>
    </xf>
    <xf numFmtId="0" fontId="6" fillId="2" borderId="3" xfId="0" applyFont="1" applyFill="1" applyBorder="1" applyAlignment="1" applyProtection="1">
      <alignment horizontal="center" vertical="center"/>
      <protection hidden="1"/>
    </xf>
    <xf numFmtId="0" fontId="6" fillId="2" borderId="0" xfId="0" applyFont="1" applyFill="1" applyAlignment="1" applyProtection="1">
      <alignment horizontal="center" vertical="center" wrapText="1"/>
      <protection hidden="1"/>
    </xf>
    <xf numFmtId="0" fontId="17" fillId="7" borderId="1" xfId="0" applyFont="1" applyFill="1" applyBorder="1" applyAlignment="1" applyProtection="1">
      <alignment horizontal="center" vertical="center"/>
      <protection hidden="1"/>
    </xf>
    <xf numFmtId="0" fontId="9" fillId="2" borderId="50" xfId="0" applyFont="1" applyFill="1" applyBorder="1" applyAlignment="1" applyProtection="1">
      <alignment horizontal="left" vertical="center" wrapText="1"/>
      <protection hidden="1"/>
    </xf>
    <xf numFmtId="0" fontId="26" fillId="2" borderId="6" xfId="0" applyFont="1" applyFill="1" applyBorder="1" applyAlignment="1" applyProtection="1">
      <alignment horizontal="left" vertical="center" wrapText="1"/>
      <protection hidden="1"/>
    </xf>
    <xf numFmtId="0" fontId="13" fillId="2" borderId="49" xfId="0" applyFont="1" applyFill="1" applyBorder="1" applyAlignment="1">
      <alignment horizontal="left" vertical="center"/>
    </xf>
    <xf numFmtId="0" fontId="13" fillId="2" borderId="0" xfId="0" applyFont="1" applyFill="1" applyAlignment="1">
      <alignment horizontal="left" vertical="center"/>
    </xf>
    <xf numFmtId="0" fontId="6" fillId="2" borderId="0" xfId="0" applyFont="1" applyFill="1" applyAlignment="1" applyProtection="1">
      <alignment horizontal="left" wrapText="1"/>
      <protection hidden="1"/>
    </xf>
    <xf numFmtId="0" fontId="6" fillId="6" borderId="0" xfId="0" applyFont="1" applyFill="1" applyAlignment="1" applyProtection="1">
      <alignment horizontal="left"/>
      <protection locked="0"/>
    </xf>
    <xf numFmtId="0" fontId="34" fillId="15" borderId="0" xfId="0" applyFont="1" applyFill="1" applyAlignment="1">
      <alignment horizontal="center" vertical="center" wrapText="1"/>
    </xf>
    <xf numFmtId="0" fontId="2" fillId="2" borderId="0" xfId="0" applyFont="1" applyFill="1" applyAlignment="1">
      <alignment horizontal="center"/>
    </xf>
    <xf numFmtId="0" fontId="9" fillId="2" borderId="52" xfId="17" applyFont="1" applyFill="1" applyBorder="1" applyAlignment="1" applyProtection="1">
      <alignment horizontal="center" vertical="center" wrapText="1"/>
      <protection hidden="1"/>
    </xf>
    <xf numFmtId="0" fontId="9" fillId="2" borderId="27" xfId="17" applyFont="1" applyFill="1" applyBorder="1" applyAlignment="1" applyProtection="1">
      <alignment horizontal="center" vertical="center" wrapText="1"/>
      <protection hidden="1"/>
    </xf>
    <xf numFmtId="0" fontId="9" fillId="2" borderId="38" xfId="17" applyFont="1" applyFill="1" applyBorder="1" applyAlignment="1" applyProtection="1">
      <alignment horizontal="center" vertical="center" wrapText="1"/>
      <protection hidden="1"/>
    </xf>
    <xf numFmtId="0" fontId="9" fillId="2" borderId="39" xfId="17" applyFont="1" applyFill="1" applyBorder="1" applyAlignment="1" applyProtection="1">
      <alignment horizontal="center" vertical="center" wrapText="1"/>
      <protection hidden="1"/>
    </xf>
    <xf numFmtId="0" fontId="5" fillId="0" borderId="53" xfId="17" applyFont="1" applyBorder="1" applyAlignment="1" applyProtection="1">
      <alignment horizontal="left" vertical="center" wrapText="1"/>
      <protection hidden="1"/>
    </xf>
    <xf numFmtId="0" fontId="9" fillId="0" borderId="54" xfId="17" applyFont="1" applyBorder="1" applyAlignment="1" applyProtection="1">
      <alignment horizontal="left" vertical="center" wrapText="1"/>
      <protection hidden="1"/>
    </xf>
    <xf numFmtId="0" fontId="9" fillId="2" borderId="55" xfId="17" applyFont="1" applyFill="1" applyBorder="1" applyAlignment="1" applyProtection="1">
      <alignment horizontal="center" vertical="center" wrapText="1"/>
      <protection hidden="1"/>
    </xf>
    <xf numFmtId="0" fontId="9" fillId="2" borderId="56" xfId="17" applyFont="1" applyFill="1" applyBorder="1" applyAlignment="1" applyProtection="1">
      <alignment horizontal="center" vertical="center" wrapText="1"/>
      <protection hidden="1"/>
    </xf>
    <xf numFmtId="0" fontId="9" fillId="2" borderId="57" xfId="17" applyFont="1" applyFill="1" applyBorder="1" applyAlignment="1" applyProtection="1">
      <alignment horizontal="center" vertical="center" wrapText="1"/>
      <protection hidden="1"/>
    </xf>
    <xf numFmtId="0" fontId="9" fillId="0" borderId="42" xfId="17" applyFont="1" applyBorder="1" applyAlignment="1" applyProtection="1">
      <alignment horizontal="left" vertical="center" wrapText="1"/>
      <protection hidden="1"/>
    </xf>
    <xf numFmtId="0" fontId="9" fillId="0" borderId="38" xfId="17" applyFont="1" applyBorder="1" applyAlignment="1" applyProtection="1">
      <alignment horizontal="left" vertical="center" wrapText="1"/>
      <protection hidden="1"/>
    </xf>
    <xf numFmtId="0" fontId="9" fillId="0" borderId="43" xfId="17" applyFont="1" applyBorder="1" applyAlignment="1" applyProtection="1">
      <alignment horizontal="left" vertical="center" wrapText="1"/>
      <protection hidden="1"/>
    </xf>
    <xf numFmtId="0" fontId="9" fillId="0" borderId="37" xfId="17" applyFont="1" applyBorder="1" applyAlignment="1" applyProtection="1">
      <alignment horizontal="center" vertical="center" wrapText="1"/>
      <protection hidden="1"/>
    </xf>
    <xf numFmtId="0" fontId="9" fillId="0" borderId="38" xfId="17" applyFont="1" applyBorder="1" applyAlignment="1" applyProtection="1">
      <alignment horizontal="center" vertical="center" wrapText="1"/>
      <protection hidden="1"/>
    </xf>
    <xf numFmtId="0" fontId="9" fillId="0" borderId="39" xfId="17" applyFont="1" applyBorder="1" applyAlignment="1" applyProtection="1">
      <alignment horizontal="center" vertical="center" wrapText="1"/>
      <protection hidden="1"/>
    </xf>
    <xf numFmtId="0" fontId="5" fillId="0" borderId="42" xfId="17" applyFont="1" applyBorder="1" applyAlignment="1" applyProtection="1">
      <alignment horizontal="left" vertical="center" wrapText="1"/>
      <protection hidden="1"/>
    </xf>
    <xf numFmtId="0" fontId="5" fillId="0" borderId="38" xfId="17" applyFont="1" applyBorder="1" applyAlignment="1" applyProtection="1">
      <alignment horizontal="left" vertical="center" wrapText="1"/>
      <protection hidden="1"/>
    </xf>
    <xf numFmtId="0" fontId="5" fillId="0" borderId="43" xfId="17" applyFont="1" applyBorder="1" applyAlignment="1" applyProtection="1">
      <alignment horizontal="left" vertical="center" wrapText="1"/>
      <protection hidden="1"/>
    </xf>
    <xf numFmtId="0" fontId="9" fillId="2" borderId="37" xfId="17" applyFont="1" applyFill="1" applyBorder="1" applyAlignment="1" applyProtection="1">
      <alignment horizontal="center" vertical="center" wrapText="1"/>
      <protection hidden="1"/>
    </xf>
    <xf numFmtId="0" fontId="9" fillId="0" borderId="21" xfId="17" applyFont="1" applyBorder="1" applyAlignment="1" applyProtection="1">
      <alignment horizontal="center" vertical="center" wrapText="1"/>
      <protection hidden="1"/>
    </xf>
    <xf numFmtId="0" fontId="9" fillId="0" borderId="22" xfId="17" applyFont="1" applyBorder="1" applyAlignment="1" applyProtection="1">
      <alignment horizontal="center" vertical="center" wrapText="1"/>
      <protection hidden="1"/>
    </xf>
    <xf numFmtId="0" fontId="9" fillId="0" borderId="20" xfId="17" applyFont="1" applyBorder="1" applyAlignment="1" applyProtection="1">
      <alignment horizontal="left" vertical="center" wrapText="1"/>
      <protection hidden="1"/>
    </xf>
    <xf numFmtId="0" fontId="9" fillId="0" borderId="21" xfId="17" applyFont="1" applyBorder="1" applyAlignment="1" applyProtection="1">
      <alignment horizontal="left" vertical="center" wrapText="1"/>
      <protection hidden="1"/>
    </xf>
    <xf numFmtId="0" fontId="9" fillId="19" borderId="20" xfId="17" applyFont="1" applyFill="1" applyBorder="1" applyAlignment="1" applyProtection="1">
      <alignment horizontal="left" vertical="center" wrapText="1"/>
      <protection hidden="1"/>
    </xf>
    <xf numFmtId="0" fontId="9" fillId="19" borderId="21" xfId="17" applyFont="1" applyFill="1" applyBorder="1" applyAlignment="1" applyProtection="1">
      <alignment horizontal="left" vertical="center" wrapText="1"/>
      <protection hidden="1"/>
    </xf>
    <xf numFmtId="0" fontId="5" fillId="17" borderId="42" xfId="17" applyFont="1" applyFill="1" applyBorder="1" applyAlignment="1" applyProtection="1">
      <alignment horizontal="left" vertical="center" wrapText="1"/>
      <protection hidden="1"/>
    </xf>
    <xf numFmtId="0" fontId="5" fillId="17" borderId="38" xfId="17" applyFont="1" applyFill="1" applyBorder="1" applyAlignment="1" applyProtection="1">
      <alignment horizontal="left" vertical="center" wrapText="1"/>
      <protection hidden="1"/>
    </xf>
    <xf numFmtId="0" fontId="5" fillId="17" borderId="43" xfId="17" applyFont="1" applyFill="1" applyBorder="1" applyAlignment="1" applyProtection="1">
      <alignment horizontal="left" vertical="center" wrapText="1"/>
      <protection hidden="1"/>
    </xf>
    <xf numFmtId="0" fontId="9" fillId="0" borderId="23" xfId="17" applyFont="1" applyBorder="1" applyAlignment="1" applyProtection="1">
      <alignment horizontal="left" vertical="center" wrapText="1"/>
      <protection hidden="1"/>
    </xf>
    <xf numFmtId="0" fontId="9" fillId="0" borderId="24" xfId="17" applyFont="1" applyBorder="1" applyAlignment="1" applyProtection="1">
      <alignment horizontal="left" vertical="center" wrapText="1"/>
      <protection hidden="1"/>
    </xf>
    <xf numFmtId="0" fontId="9" fillId="0" borderId="25" xfId="17" applyFont="1" applyBorder="1" applyAlignment="1" applyProtection="1">
      <alignment horizontal="left" vertical="center" wrapText="1"/>
      <protection hidden="1"/>
    </xf>
    <xf numFmtId="0" fontId="5" fillId="0" borderId="20" xfId="17" applyFont="1" applyBorder="1" applyAlignment="1" applyProtection="1">
      <alignment horizontal="left" vertical="center" wrapText="1"/>
      <protection hidden="1"/>
    </xf>
    <xf numFmtId="0" fontId="5" fillId="0" borderId="21" xfId="17" applyFont="1" applyBorder="1" applyAlignment="1" applyProtection="1">
      <alignment horizontal="left" vertical="center" wrapText="1"/>
      <protection hidden="1"/>
    </xf>
    <xf numFmtId="0" fontId="9" fillId="2" borderId="21" xfId="17" applyFont="1" applyFill="1" applyBorder="1" applyAlignment="1" applyProtection="1">
      <alignment horizontal="center" vertical="center" wrapText="1"/>
      <protection hidden="1"/>
    </xf>
    <xf numFmtId="0" fontId="9" fillId="2" borderId="22" xfId="17" applyFont="1" applyFill="1" applyBorder="1" applyAlignment="1" applyProtection="1">
      <alignment horizontal="center" vertical="center" wrapText="1"/>
      <protection hidden="1"/>
    </xf>
    <xf numFmtId="0" fontId="15" fillId="17" borderId="20" xfId="17" applyFont="1" applyFill="1" applyBorder="1" applyAlignment="1" applyProtection="1">
      <alignment horizontal="left" vertical="center" wrapText="1"/>
      <protection hidden="1"/>
    </xf>
    <xf numFmtId="0" fontId="15" fillId="17" borderId="21" xfId="17" applyFont="1" applyFill="1" applyBorder="1" applyAlignment="1" applyProtection="1">
      <alignment horizontal="left" vertical="center" wrapText="1"/>
      <protection hidden="1"/>
    </xf>
    <xf numFmtId="0" fontId="5" fillId="19" borderId="20" xfId="17" applyFont="1" applyFill="1" applyBorder="1" applyAlignment="1" applyProtection="1">
      <alignment horizontal="left" vertical="center" wrapText="1"/>
      <protection hidden="1"/>
    </xf>
    <xf numFmtId="0" fontId="5" fillId="19" borderId="21" xfId="17" applyFont="1" applyFill="1" applyBorder="1" applyAlignment="1" applyProtection="1">
      <alignment horizontal="left" vertical="center" wrapText="1"/>
      <protection hidden="1"/>
    </xf>
    <xf numFmtId="0" fontId="9" fillId="0" borderId="41" xfId="17" applyFont="1" applyBorder="1" applyAlignment="1" applyProtection="1">
      <alignment horizontal="left" vertical="top" wrapText="1"/>
      <protection hidden="1"/>
    </xf>
    <xf numFmtId="0" fontId="9" fillId="0" borderId="46" xfId="17" applyFont="1" applyBorder="1" applyAlignment="1" applyProtection="1">
      <alignment horizontal="left" vertical="top" wrapText="1"/>
      <protection hidden="1"/>
    </xf>
    <xf numFmtId="0" fontId="9" fillId="0" borderId="51" xfId="17" applyFont="1" applyBorder="1" applyAlignment="1" applyProtection="1">
      <alignment horizontal="left" vertical="top" wrapText="1"/>
      <protection hidden="1"/>
    </xf>
    <xf numFmtId="0" fontId="5" fillId="6" borderId="20" xfId="17" applyFont="1" applyFill="1" applyBorder="1" applyAlignment="1" applyProtection="1">
      <alignment horizontal="center" vertical="center" wrapText="1"/>
      <protection hidden="1"/>
    </xf>
    <xf numFmtId="0" fontId="9" fillId="6" borderId="21" xfId="17" applyFont="1" applyFill="1" applyBorder="1" applyAlignment="1" applyProtection="1">
      <alignment horizontal="center" vertical="center" wrapText="1"/>
      <protection hidden="1"/>
    </xf>
    <xf numFmtId="0" fontId="9" fillId="6" borderId="22" xfId="17" applyFont="1" applyFill="1" applyBorder="1" applyAlignment="1" applyProtection="1">
      <alignment horizontal="center" vertical="center" wrapText="1"/>
      <protection hidden="1"/>
    </xf>
    <xf numFmtId="0" fontId="5" fillId="6" borderId="41" xfId="17" applyFont="1" applyFill="1" applyBorder="1" applyAlignment="1" applyProtection="1">
      <alignment horizontal="center" vertical="center" wrapText="1"/>
      <protection hidden="1"/>
    </xf>
    <xf numFmtId="0" fontId="9" fillId="6" borderId="46" xfId="17" applyFont="1" applyFill="1" applyBorder="1" applyAlignment="1" applyProtection="1">
      <alignment horizontal="center" vertical="center" wrapText="1"/>
      <protection hidden="1"/>
    </xf>
    <xf numFmtId="0" fontId="9" fillId="6" borderId="51" xfId="17" applyFont="1" applyFill="1" applyBorder="1" applyAlignment="1" applyProtection="1">
      <alignment horizontal="center" vertical="center" wrapText="1"/>
      <protection hidden="1"/>
    </xf>
    <xf numFmtId="0" fontId="5" fillId="0" borderId="40" xfId="17" applyFont="1" applyBorder="1" applyAlignment="1" applyProtection="1">
      <alignment horizontal="left" vertical="center" wrapText="1"/>
      <protection hidden="1"/>
    </xf>
    <xf numFmtId="0" fontId="5" fillId="0" borderId="41" xfId="17" applyFont="1" applyBorder="1" applyAlignment="1" applyProtection="1">
      <alignment horizontal="left" vertical="center" wrapText="1"/>
      <protection hidden="1"/>
    </xf>
    <xf numFmtId="0" fontId="9" fillId="6" borderId="20" xfId="17" applyFont="1" applyFill="1" applyBorder="1" applyAlignment="1" applyProtection="1">
      <alignment horizontal="center" vertical="center" wrapText="1"/>
      <protection hidden="1"/>
    </xf>
    <xf numFmtId="0" fontId="9" fillId="0" borderId="37" xfId="17" applyFont="1" applyBorder="1" applyAlignment="1" applyProtection="1">
      <alignment horizontal="center" vertical="center"/>
      <protection hidden="1"/>
    </xf>
    <xf numFmtId="0" fontId="9" fillId="0" borderId="38" xfId="17" applyFont="1" applyBorder="1" applyAlignment="1" applyProtection="1">
      <alignment horizontal="center" vertical="center"/>
      <protection hidden="1"/>
    </xf>
    <xf numFmtId="0" fontId="9" fillId="0" borderId="39" xfId="17" applyFont="1" applyBorder="1" applyAlignment="1" applyProtection="1">
      <alignment horizontal="center" vertical="center"/>
      <protection hidden="1"/>
    </xf>
    <xf numFmtId="0" fontId="5" fillId="0" borderId="46" xfId="17" applyFont="1" applyBorder="1" applyAlignment="1" applyProtection="1">
      <alignment horizontal="left" vertical="center" wrapText="1"/>
      <protection hidden="1"/>
    </xf>
    <xf numFmtId="0" fontId="9" fillId="2" borderId="47" xfId="17" applyFont="1" applyFill="1" applyBorder="1" applyAlignment="1" applyProtection="1">
      <alignment horizontal="center" vertical="center" wrapText="1"/>
      <protection hidden="1"/>
    </xf>
    <xf numFmtId="0" fontId="9" fillId="2" borderId="32" xfId="17" applyFont="1" applyFill="1" applyBorder="1" applyAlignment="1" applyProtection="1">
      <alignment horizontal="center" vertical="center" wrapText="1"/>
      <protection hidden="1"/>
    </xf>
    <xf numFmtId="0" fontId="9" fillId="2" borderId="33" xfId="17" applyFont="1" applyFill="1" applyBorder="1" applyAlignment="1" applyProtection="1">
      <alignment horizontal="center" vertical="center" wrapText="1"/>
      <protection hidden="1"/>
    </xf>
    <xf numFmtId="0" fontId="5" fillId="0" borderId="17" xfId="17" applyFont="1" applyBorder="1" applyAlignment="1" applyProtection="1">
      <alignment horizontal="left" vertical="center" wrapText="1"/>
      <protection hidden="1"/>
    </xf>
    <xf numFmtId="0" fontId="5" fillId="0" borderId="18" xfId="17" applyFont="1" applyBorder="1" applyAlignment="1" applyProtection="1">
      <alignment horizontal="left" vertical="center" wrapText="1"/>
      <protection hidden="1"/>
    </xf>
    <xf numFmtId="0" fontId="5" fillId="0" borderId="19" xfId="17" applyFont="1" applyBorder="1" applyAlignment="1" applyProtection="1">
      <alignment horizontal="left" vertical="center" wrapText="1"/>
      <protection hidden="1"/>
    </xf>
    <xf numFmtId="14" fontId="5" fillId="0" borderId="0" xfId="17" applyNumberFormat="1" applyFont="1" applyAlignment="1" applyProtection="1">
      <alignment horizontal="left" vertical="center" wrapText="1"/>
      <protection hidden="1"/>
    </xf>
    <xf numFmtId="14" fontId="5" fillId="0" borderId="30" xfId="17" applyNumberFormat="1" applyFont="1" applyBorder="1" applyAlignment="1" applyProtection="1">
      <alignment horizontal="left" vertical="center" wrapText="1"/>
      <protection hidden="1"/>
    </xf>
    <xf numFmtId="0" fontId="5" fillId="0" borderId="29" xfId="17" applyFont="1" applyBorder="1" applyAlignment="1" applyProtection="1">
      <alignment horizontal="center" vertical="center" wrapText="1"/>
      <protection hidden="1"/>
    </xf>
    <xf numFmtId="0" fontId="5" fillId="0" borderId="0" xfId="17" applyFont="1" applyAlignment="1" applyProtection="1">
      <alignment horizontal="center" vertical="center" wrapText="1"/>
      <protection hidden="1"/>
    </xf>
    <xf numFmtId="0" fontId="5" fillId="0" borderId="30" xfId="17" applyFont="1" applyBorder="1" applyAlignment="1" applyProtection="1">
      <alignment horizontal="center" vertical="center" wrapText="1"/>
      <protection hidden="1"/>
    </xf>
    <xf numFmtId="0" fontId="5" fillId="0" borderId="31" xfId="17" applyFont="1" applyBorder="1" applyAlignment="1" applyProtection="1">
      <alignment horizontal="right" vertical="center" wrapText="1"/>
      <protection hidden="1"/>
    </xf>
    <xf numFmtId="0" fontId="5" fillId="0" borderId="32" xfId="17" applyFont="1" applyBorder="1" applyAlignment="1" applyProtection="1">
      <alignment horizontal="right" vertical="center" wrapText="1"/>
      <protection hidden="1"/>
    </xf>
    <xf numFmtId="0" fontId="5" fillId="0" borderId="32" xfId="17" applyFont="1" applyBorder="1" applyAlignment="1" applyProtection="1">
      <alignment horizontal="left" vertical="center" wrapText="1"/>
      <protection hidden="1"/>
    </xf>
    <xf numFmtId="0" fontId="5" fillId="0" borderId="33" xfId="17" applyFont="1" applyBorder="1" applyAlignment="1" applyProtection="1">
      <alignment horizontal="left" vertical="center" wrapText="1"/>
      <protection hidden="1"/>
    </xf>
    <xf numFmtId="14" fontId="5" fillId="0" borderId="27" xfId="17" applyNumberFormat="1" applyFont="1" applyBorder="1" applyAlignment="1" applyProtection="1">
      <alignment horizontal="left" vertical="center" wrapText="1"/>
      <protection hidden="1"/>
    </xf>
    <xf numFmtId="0" fontId="9" fillId="0" borderId="40" xfId="17" applyFont="1" applyBorder="1" applyAlignment="1" applyProtection="1">
      <alignment horizontal="left" vertical="top" wrapText="1"/>
      <protection hidden="1"/>
    </xf>
    <xf numFmtId="0" fontId="9" fillId="0" borderId="44" xfId="17" applyFont="1" applyBorder="1" applyAlignment="1" applyProtection="1">
      <alignment horizontal="left" vertical="top" wrapText="1"/>
      <protection hidden="1"/>
    </xf>
    <xf numFmtId="0" fontId="9" fillId="0" borderId="45" xfId="17" applyFont="1" applyBorder="1" applyAlignment="1" applyProtection="1">
      <alignment horizontal="left" vertical="top" wrapText="1"/>
      <protection hidden="1"/>
    </xf>
    <xf numFmtId="0" fontId="5" fillId="6" borderId="40" xfId="17" applyFont="1" applyFill="1" applyBorder="1" applyAlignment="1" applyProtection="1">
      <alignment horizontal="center" vertical="center" wrapText="1"/>
      <protection hidden="1"/>
    </xf>
    <xf numFmtId="0" fontId="5" fillId="6" borderId="44" xfId="17" applyFont="1" applyFill="1" applyBorder="1" applyAlignment="1" applyProtection="1">
      <alignment horizontal="center" vertical="center" wrapText="1"/>
      <protection hidden="1"/>
    </xf>
    <xf numFmtId="0" fontId="5" fillId="14" borderId="26" xfId="17" applyFont="1" applyFill="1" applyBorder="1" applyAlignment="1" applyProtection="1">
      <alignment horizontal="center" vertical="center" wrapText="1"/>
      <protection hidden="1"/>
    </xf>
    <xf numFmtId="0" fontId="5" fillId="14" borderId="27" xfId="17" applyFont="1" applyFill="1" applyBorder="1" applyAlignment="1" applyProtection="1">
      <alignment horizontal="center" vertical="center" wrapText="1"/>
      <protection hidden="1"/>
    </xf>
    <xf numFmtId="0" fontId="5" fillId="14" borderId="48" xfId="17" applyFont="1" applyFill="1" applyBorder="1" applyAlignment="1" applyProtection="1">
      <alignment horizontal="center" vertical="center" wrapText="1"/>
      <protection hidden="1"/>
    </xf>
    <xf numFmtId="0" fontId="5" fillId="6" borderId="42" xfId="17" applyFont="1" applyFill="1" applyBorder="1" applyAlignment="1" applyProtection="1">
      <alignment horizontal="center" vertical="center" wrapText="1"/>
      <protection hidden="1"/>
    </xf>
    <xf numFmtId="0" fontId="5" fillId="6" borderId="38" xfId="17" applyFont="1" applyFill="1" applyBorder="1" applyAlignment="1" applyProtection="1">
      <alignment horizontal="center" vertical="center" wrapText="1"/>
      <protection hidden="1"/>
    </xf>
    <xf numFmtId="0" fontId="2" fillId="0" borderId="6" xfId="0" applyFont="1" applyBorder="1" applyAlignment="1">
      <alignment horizontal="left"/>
    </xf>
    <xf numFmtId="0" fontId="0" fillId="0" borderId="6" xfId="0" applyBorder="1" applyAlignment="1">
      <alignment horizontal="center"/>
    </xf>
    <xf numFmtId="0" fontId="48" fillId="2" borderId="0" xfId="0" applyFont="1" applyFill="1" applyAlignment="1">
      <alignment horizontal="left" vertical="center" wrapText="1"/>
    </xf>
    <xf numFmtId="0" fontId="45" fillId="2" borderId="0" xfId="0" applyFont="1" applyFill="1" applyAlignment="1">
      <alignment horizontal="center" vertical="center"/>
    </xf>
    <xf numFmtId="0" fontId="9" fillId="0" borderId="24" xfId="17" applyFont="1" applyBorder="1" applyAlignment="1" applyProtection="1">
      <alignment horizontal="center" vertical="center" wrapText="1"/>
      <protection hidden="1"/>
    </xf>
    <xf numFmtId="0" fontId="9" fillId="0" borderId="25" xfId="17" applyFont="1" applyBorder="1" applyAlignment="1" applyProtection="1">
      <alignment horizontal="center" vertical="center" wrapText="1"/>
      <protection hidden="1"/>
    </xf>
  </cellXfs>
  <cellStyles count="24">
    <cellStyle name="Comma" xfId="9" builtinId="3"/>
    <cellStyle name="Comma 2" xfId="11" xr:uid="{00000000-0005-0000-0000-000001000000}"/>
    <cellStyle name="Comma 2 2" xfId="14" xr:uid="{00000000-0005-0000-0000-000002000000}"/>
    <cellStyle name="Comma 2 2 2" xfId="22" xr:uid="{051DF8F7-98BB-4959-9A2A-38EA228A3AD6}"/>
    <cellStyle name="Comma 2 3" xfId="18" xr:uid="{00000000-0005-0000-0000-000003000000}"/>
    <cellStyle name="Comma 2 3 2" xfId="23" xr:uid="{B240CD34-49B2-4C56-9453-36D01C35FF82}"/>
    <cellStyle name="Comma 3" xfId="13" xr:uid="{00000000-0005-0000-0000-000004000000}"/>
    <cellStyle name="Comma 3 2" xfId="21" xr:uid="{C577546F-2735-4E55-8987-297BFAE0168A}"/>
    <cellStyle name="Comma 4" xfId="20" xr:uid="{1E3D2646-1A28-47B6-A06D-8A20DBF93607}"/>
    <cellStyle name="Comma 5" xfId="3" xr:uid="{00000000-0005-0000-0000-000005000000}"/>
    <cellStyle name="Comma 5 2" xfId="19" xr:uid="{8C562AF6-C45E-401E-8720-9097718C568A}"/>
    <cellStyle name="Heading 3" xfId="16" builtinId="18"/>
    <cellStyle name="Normal" xfId="0" builtinId="0"/>
    <cellStyle name="Normal 11" xfId="5" xr:uid="{00000000-0005-0000-0000-000008000000}"/>
    <cellStyle name="Normal 12" xfId="6" xr:uid="{00000000-0005-0000-0000-000009000000}"/>
    <cellStyle name="Normal 13" xfId="8" xr:uid="{00000000-0005-0000-0000-00000A000000}"/>
    <cellStyle name="Normal 2" xfId="4" xr:uid="{00000000-0005-0000-0000-00000B000000}"/>
    <cellStyle name="Normal 2 2" xfId="10" xr:uid="{00000000-0005-0000-0000-00000C000000}"/>
    <cellStyle name="Normal 2 3" xfId="15" xr:uid="{00000000-0005-0000-0000-00000D000000}"/>
    <cellStyle name="Normal 3" xfId="17" xr:uid="{00000000-0005-0000-0000-00000E000000}"/>
    <cellStyle name="Normal 4" xfId="12" xr:uid="{00000000-0005-0000-0000-00000F000000}"/>
    <cellStyle name="Normal 8" xfId="2" xr:uid="{00000000-0005-0000-0000-000010000000}"/>
    <cellStyle name="Percent" xfId="1" builtinId="5"/>
    <cellStyle name="Percent 2" xfId="7" xr:uid="{00000000-0005-0000-0000-000012000000}"/>
  </cellStyles>
  <dxfs count="0"/>
  <tableStyles count="1" defaultTableStyle="TableStyleMedium2" defaultPivotStyle="PivotStyleMedium9">
    <tableStyle name="Invisible" pivot="0" table="0" count="0" xr9:uid="{00000000-0011-0000-FFFF-FFFF00000000}"/>
  </tableStyles>
  <colors>
    <mruColors>
      <color rgb="FF9E0000"/>
      <color rgb="FF1D4779"/>
      <color rgb="FF130579"/>
      <color rgb="FF800000"/>
      <color rgb="FF183B66"/>
      <color rgb="FF8A8A8A"/>
      <color rgb="FFFEF1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30</xdr:row>
      <xdr:rowOff>9525</xdr:rowOff>
    </xdr:from>
    <xdr:to>
      <xdr:col>15</xdr:col>
      <xdr:colOff>895350</xdr:colOff>
      <xdr:row>35</xdr:row>
      <xdr:rowOff>66675</xdr:rowOff>
    </xdr:to>
    <xdr:pic>
      <xdr:nvPicPr>
        <xdr:cNvPr id="2" name="Picture 1">
          <a:extLst>
            <a:ext uri="{FF2B5EF4-FFF2-40B4-BE49-F238E27FC236}">
              <a16:creationId xmlns:a16="http://schemas.microsoft.com/office/drawing/2014/main" id="{7FABA874-7D37-4D0D-B71F-3F118D21DF5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67800" y="942975"/>
          <a:ext cx="1981200" cy="866775"/>
        </a:xfrm>
        <a:prstGeom prst="rect">
          <a:avLst/>
        </a:prstGeom>
        <a:noFill/>
        <a:ln>
          <a:noFill/>
        </a:ln>
      </xdr:spPr>
    </xdr:pic>
    <xdr:clientData/>
  </xdr:twoCellAnchor>
  <xdr:twoCellAnchor>
    <xdr:from>
      <xdr:col>1</xdr:col>
      <xdr:colOff>276225</xdr:colOff>
      <xdr:row>26</xdr:row>
      <xdr:rowOff>47625</xdr:rowOff>
    </xdr:from>
    <xdr:to>
      <xdr:col>3</xdr:col>
      <xdr:colOff>771525</xdr:colOff>
      <xdr:row>28</xdr:row>
      <xdr:rowOff>85725</xdr:rowOff>
    </xdr:to>
    <xdr:sp macro="" textlink="">
      <xdr:nvSpPr>
        <xdr:cNvPr id="4" name="Arrow: Right 3">
          <a:extLst>
            <a:ext uri="{FF2B5EF4-FFF2-40B4-BE49-F238E27FC236}">
              <a16:creationId xmlns:a16="http://schemas.microsoft.com/office/drawing/2014/main" id="{35B4F726-3F15-4A8E-BD76-D37240B2E511}"/>
            </a:ext>
          </a:extLst>
        </xdr:cNvPr>
        <xdr:cNvSpPr/>
      </xdr:nvSpPr>
      <xdr:spPr>
        <a:xfrm>
          <a:off x="885825" y="209550"/>
          <a:ext cx="1771650" cy="400050"/>
        </a:xfrm>
        <a:prstGeom prst="rightArrow">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bg1"/>
              </a:solidFill>
            </a:rPr>
            <a:t>Please Enter Commission </a:t>
          </a:r>
        </a:p>
      </xdr:txBody>
    </xdr:sp>
    <xdr:clientData/>
  </xdr:twoCellAnchor>
  <xdr:twoCellAnchor editAs="oneCell">
    <xdr:from>
      <xdr:col>14</xdr:col>
      <xdr:colOff>180975</xdr:colOff>
      <xdr:row>35</xdr:row>
      <xdr:rowOff>76200</xdr:rowOff>
    </xdr:from>
    <xdr:to>
      <xdr:col>15</xdr:col>
      <xdr:colOff>681990</xdr:colOff>
      <xdr:row>37</xdr:row>
      <xdr:rowOff>20955</xdr:rowOff>
    </xdr:to>
    <xdr:pic>
      <xdr:nvPicPr>
        <xdr:cNvPr id="3" name="Picture 2" descr="Icon&#10;&#10;Description automatically generated with medium confidence">
          <a:extLst>
            <a:ext uri="{FF2B5EF4-FFF2-40B4-BE49-F238E27FC236}">
              <a16:creationId xmlns:a16="http://schemas.microsoft.com/office/drawing/2014/main" id="{841DED4A-5FDE-CA77-4B80-06412F47943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25025" y="1819275"/>
          <a:ext cx="1110615" cy="31623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1009650</xdr:colOff>
      <xdr:row>5</xdr:row>
      <xdr:rowOff>2228850</xdr:rowOff>
    </xdr:from>
    <xdr:to>
      <xdr:col>7</xdr:col>
      <xdr:colOff>891540</xdr:colOff>
      <xdr:row>5</xdr:row>
      <xdr:rowOff>2545080</xdr:rowOff>
    </xdr:to>
    <xdr:pic>
      <xdr:nvPicPr>
        <xdr:cNvPr id="3" name="Picture 2" descr="Icon&#10;&#10;Description automatically generated with medium confidence">
          <a:extLst>
            <a:ext uri="{FF2B5EF4-FFF2-40B4-BE49-F238E27FC236}">
              <a16:creationId xmlns:a16="http://schemas.microsoft.com/office/drawing/2014/main" id="{F67367DB-9611-2C7E-8442-A6169EEC5E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00" y="3829050"/>
          <a:ext cx="1110615" cy="316230"/>
        </a:xfrm>
        <a:prstGeom prst="rect">
          <a:avLst/>
        </a:prstGeom>
        <a:noFill/>
        <a:ln>
          <a:noFill/>
        </a:ln>
      </xdr:spPr>
    </xdr:pic>
    <xdr:clientData/>
  </xdr:twoCellAnchor>
  <xdr:twoCellAnchor editAs="oneCell">
    <xdr:from>
      <xdr:col>0</xdr:col>
      <xdr:colOff>123825</xdr:colOff>
      <xdr:row>0</xdr:row>
      <xdr:rowOff>47626</xdr:rowOff>
    </xdr:from>
    <xdr:to>
      <xdr:col>7</xdr:col>
      <xdr:colOff>1066800</xdr:colOff>
      <xdr:row>1</xdr:row>
      <xdr:rowOff>1</xdr:rowOff>
    </xdr:to>
    <xdr:pic>
      <xdr:nvPicPr>
        <xdr:cNvPr id="4" name="Picture 3">
          <a:extLst>
            <a:ext uri="{FF2B5EF4-FFF2-40B4-BE49-F238E27FC236}">
              <a16:creationId xmlns:a16="http://schemas.microsoft.com/office/drawing/2014/main" id="{79464953-15A4-038D-4C8A-F3AFF40793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3825" y="47626"/>
          <a:ext cx="973455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N-SRV-FS01\Roaming%20Drive\Users\milinda.dissanayaka\Desktop\New%20folder\Calculators\DISCOUNT%20CALCULATO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lenn.lopez/AppData/Local/Microsoft/Windows/Temporary%20Internet%20Files/Content.Outlook/G0420K0K/Sample%20Tool_9%20Aug%202017.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ghlight Report"/>
      <sheetName val="INPUT"/>
      <sheetName val="NRP Table"/>
      <sheetName val="Quotation"/>
      <sheetName val="Flat NRP"/>
      <sheetName val="Flat Quotation"/>
      <sheetName val="Age Band Calculation"/>
      <sheetName val="Steering"/>
      <sheetName val="Code"/>
      <sheetName val="Data"/>
      <sheetName val="Factors"/>
      <sheetName val="IN_Out"/>
      <sheetName val="Discount calculator"/>
      <sheetName val="Discount calculator (MY)"/>
      <sheetName val="Sheet1"/>
    </sheetNames>
    <sheetDataSet>
      <sheetData sheetId="0"/>
      <sheetData sheetId="1"/>
      <sheetData sheetId="2">
        <row r="16">
          <cell r="J16" t="str">
            <v>Khaleej Care Out 50</v>
          </cell>
        </row>
      </sheetData>
      <sheetData sheetId="3"/>
      <sheetData sheetId="4"/>
      <sheetData sheetId="5"/>
      <sheetData sheetId="6"/>
      <sheetData sheetId="7"/>
      <sheetData sheetId="8">
        <row r="1">
          <cell r="D1" t="str">
            <v>Oct -2010</v>
          </cell>
        </row>
        <row r="4">
          <cell r="C4" t="str">
            <v>AED</v>
          </cell>
        </row>
        <row r="7">
          <cell r="C7" t="b">
            <v>0</v>
          </cell>
        </row>
        <row r="9">
          <cell r="C9" t="b">
            <v>0</v>
          </cell>
        </row>
        <row r="13">
          <cell r="C13" t="str">
            <v xml:space="preserve">Khaleej CarePlus - Silver Premium </v>
          </cell>
        </row>
        <row r="17">
          <cell r="C17" t="b">
            <v>0</v>
          </cell>
        </row>
        <row r="29">
          <cell r="C29" t="str">
            <v>1000000</v>
          </cell>
        </row>
        <row r="43">
          <cell r="C43" t="b">
            <v>0</v>
          </cell>
        </row>
        <row r="62">
          <cell r="C62" t="str">
            <v>Khaleej Care Out 50</v>
          </cell>
        </row>
        <row r="66">
          <cell r="D66" t="b">
            <v>0</v>
          </cell>
        </row>
        <row r="67">
          <cell r="D67" t="b">
            <v>0</v>
          </cell>
        </row>
        <row r="70">
          <cell r="D70" t="b">
            <v>0</v>
          </cell>
        </row>
        <row r="73">
          <cell r="D73" t="b">
            <v>0</v>
          </cell>
        </row>
        <row r="74">
          <cell r="C74">
            <v>30</v>
          </cell>
        </row>
        <row r="79">
          <cell r="D79" t="b">
            <v>0</v>
          </cell>
        </row>
        <row r="98">
          <cell r="D98" t="b">
            <v>0</v>
          </cell>
        </row>
        <row r="100">
          <cell r="C100">
            <v>0</v>
          </cell>
        </row>
        <row r="116">
          <cell r="D116" t="b">
            <v>0</v>
          </cell>
        </row>
        <row r="144">
          <cell r="D144">
            <v>1.05</v>
          </cell>
        </row>
        <row r="146">
          <cell r="D146">
            <v>1</v>
          </cell>
        </row>
        <row r="148">
          <cell r="D148">
            <v>1</v>
          </cell>
        </row>
        <row r="150">
          <cell r="D150">
            <v>1</v>
          </cell>
        </row>
        <row r="151">
          <cell r="D151">
            <v>1</v>
          </cell>
        </row>
        <row r="153">
          <cell r="D153">
            <v>1.08</v>
          </cell>
        </row>
        <row r="155">
          <cell r="D155">
            <v>1</v>
          </cell>
        </row>
        <row r="157">
          <cell r="D157">
            <v>1</v>
          </cell>
        </row>
        <row r="159">
          <cell r="D159">
            <v>1</v>
          </cell>
        </row>
        <row r="166">
          <cell r="A166">
            <v>9</v>
          </cell>
        </row>
        <row r="168">
          <cell r="A168">
            <v>13</v>
          </cell>
        </row>
        <row r="170">
          <cell r="C170">
            <v>0</v>
          </cell>
        </row>
        <row r="171">
          <cell r="C171">
            <v>0</v>
          </cell>
        </row>
        <row r="182">
          <cell r="C182">
            <v>2</v>
          </cell>
        </row>
        <row r="222">
          <cell r="C222">
            <v>0</v>
          </cell>
        </row>
        <row r="241">
          <cell r="C241">
            <v>0.5874096419175977</v>
          </cell>
        </row>
        <row r="242">
          <cell r="C242">
            <v>1.120626729490962E-3</v>
          </cell>
        </row>
        <row r="285">
          <cell r="C285">
            <v>0</v>
          </cell>
        </row>
        <row r="286">
          <cell r="C286">
            <v>0</v>
          </cell>
        </row>
        <row r="287">
          <cell r="C287">
            <v>0</v>
          </cell>
        </row>
        <row r="288">
          <cell r="C288">
            <v>0</v>
          </cell>
        </row>
        <row r="289">
          <cell r="C289">
            <v>0</v>
          </cell>
        </row>
        <row r="290">
          <cell r="C290">
            <v>0</v>
          </cell>
        </row>
        <row r="291">
          <cell r="C291">
            <v>0</v>
          </cell>
        </row>
        <row r="292">
          <cell r="C292">
            <v>0</v>
          </cell>
        </row>
        <row r="293">
          <cell r="C293">
            <v>0</v>
          </cell>
        </row>
        <row r="294">
          <cell r="C294">
            <v>0</v>
          </cell>
        </row>
        <row r="295">
          <cell r="C295">
            <v>0</v>
          </cell>
        </row>
      </sheetData>
      <sheetData sheetId="9">
        <row r="3">
          <cell r="G3">
            <v>30</v>
          </cell>
        </row>
      </sheetData>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sheetName val="Inputs"/>
      <sheetName val="Census Data"/>
      <sheetName val="Inputs Mapping"/>
      <sheetName val="input for formula"/>
      <sheetName val="Computation"/>
      <sheetName val="Net rates- DXB"/>
      <sheetName val="Deviation"/>
      <sheetName val="Rates"/>
      <sheetName val="Quotation for Dubai Plans"/>
      <sheetName val="Quotation for Abu Dhabi Plans"/>
      <sheetName val="Selected TOB DXB"/>
      <sheetName val="Selected TOB AUH"/>
      <sheetName val="Plans -Dubai &amp; Other Emirates"/>
      <sheetName val="Plans-Abudhabi &amp; Al Ain Emirate"/>
      <sheetName val="Net rates-ALL"/>
      <sheetName val="Additions"/>
      <sheetName val="Protection"/>
    </sheetNames>
    <sheetDataSet>
      <sheetData sheetId="0"/>
      <sheetData sheetId="1">
        <row r="17">
          <cell r="C17">
            <v>0</v>
          </cell>
        </row>
        <row r="18">
          <cell r="C18" t="str">
            <v/>
          </cell>
          <cell r="H18">
            <v>0</v>
          </cell>
        </row>
      </sheetData>
      <sheetData sheetId="2"/>
      <sheetData sheetId="3">
        <row r="4">
          <cell r="A4" t="str">
            <v>Plan1</v>
          </cell>
        </row>
        <row r="5">
          <cell r="A5" t="str">
            <v>Plan2</v>
          </cell>
        </row>
        <row r="6">
          <cell r="A6" t="str">
            <v>Plan3</v>
          </cell>
        </row>
        <row r="7">
          <cell r="A7" t="str">
            <v>Plan4</v>
          </cell>
        </row>
        <row r="8">
          <cell r="A8" t="str">
            <v>Plan5</v>
          </cell>
        </row>
        <row r="12">
          <cell r="A12" t="str">
            <v>Plan1</v>
          </cell>
        </row>
        <row r="13">
          <cell r="A13" t="str">
            <v>Plan2</v>
          </cell>
        </row>
        <row r="14">
          <cell r="A14" t="str">
            <v>Plan3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N246"/>
  <sheetViews>
    <sheetView topLeftCell="E1" workbookViewId="0">
      <selection activeCell="M15" sqref="M15"/>
    </sheetView>
  </sheetViews>
  <sheetFormatPr defaultColWidth="17.88671875" defaultRowHeight="13.8" x14ac:dyDescent="0.3"/>
  <cols>
    <col min="1" max="3" width="17.88671875" style="17"/>
    <col min="4" max="4" width="33.6640625" style="17" bestFit="1" customWidth="1"/>
    <col min="5" max="5" width="17.88671875" style="17"/>
    <col min="6" max="6" width="44" style="17" bestFit="1" customWidth="1"/>
    <col min="7" max="7" width="31.109375" style="17" bestFit="1" customWidth="1"/>
    <col min="8" max="8" width="17.88671875" style="17"/>
    <col min="9" max="9" width="7.6640625" style="17" bestFit="1" customWidth="1"/>
    <col min="10" max="10" width="8.88671875" style="17" bestFit="1" customWidth="1"/>
    <col min="11" max="11" width="27.88671875" style="17" bestFit="1" customWidth="1"/>
    <col min="12" max="12" width="49" style="17" bestFit="1" customWidth="1"/>
    <col min="13" max="13" width="34.33203125" style="17" bestFit="1" customWidth="1"/>
    <col min="14" max="14" width="25" style="17" customWidth="1"/>
    <col min="15" max="15" width="0" style="170" hidden="1" customWidth="1"/>
    <col min="16" max="19" width="17.88671875" style="17"/>
    <col min="20" max="20" width="33.44140625" style="17" bestFit="1" customWidth="1"/>
    <col min="21" max="16384" width="17.88671875" style="17"/>
  </cols>
  <sheetData>
    <row r="1" spans="1:22" x14ac:dyDescent="0.3">
      <c r="G1" s="17" t="s">
        <v>177</v>
      </c>
      <c r="H1" s="96">
        <v>0.12</v>
      </c>
      <c r="I1" s="96"/>
      <c r="J1" s="96"/>
      <c r="K1" s="179">
        <v>45630</v>
      </c>
      <c r="L1" s="96"/>
    </row>
    <row r="2" spans="1:22" x14ac:dyDescent="0.3">
      <c r="C2" s="158"/>
      <c r="D2" s="17" t="s">
        <v>546</v>
      </c>
      <c r="G2" s="17" t="s">
        <v>82</v>
      </c>
      <c r="H2" s="28">
        <v>0</v>
      </c>
      <c r="I2" s="28"/>
      <c r="J2" s="28"/>
      <c r="K2" s="28" t="s">
        <v>581</v>
      </c>
      <c r="L2" s="28" t="s">
        <v>563</v>
      </c>
      <c r="Q2" s="172" t="s">
        <v>56</v>
      </c>
    </row>
    <row r="3" spans="1:22" x14ac:dyDescent="0.3">
      <c r="G3" s="17" t="s">
        <v>174</v>
      </c>
      <c r="H3" s="91">
        <f>'Census List'!E28</f>
        <v>0.05</v>
      </c>
      <c r="I3" s="91"/>
      <c r="J3" s="91"/>
      <c r="K3" s="28" t="s">
        <v>582</v>
      </c>
      <c r="L3" s="91" t="s">
        <v>564</v>
      </c>
      <c r="Q3" s="98" t="s">
        <v>82</v>
      </c>
      <c r="R3" s="98" t="s">
        <v>470</v>
      </c>
      <c r="S3" s="98" t="s">
        <v>114</v>
      </c>
      <c r="T3" s="98" t="s">
        <v>472</v>
      </c>
      <c r="U3" s="98" t="s">
        <v>467</v>
      </c>
      <c r="V3" s="98" t="s">
        <v>466</v>
      </c>
    </row>
    <row r="4" spans="1:22" x14ac:dyDescent="0.3">
      <c r="G4" s="17" t="s">
        <v>55</v>
      </c>
      <c r="H4" s="91">
        <f>SUM(H1:H3)</f>
        <v>0.17</v>
      </c>
      <c r="I4" s="91"/>
      <c r="J4" s="91"/>
      <c r="K4" s="91"/>
      <c r="L4" s="91" t="s">
        <v>565</v>
      </c>
      <c r="Q4" s="94" t="s">
        <v>128</v>
      </c>
      <c r="R4" s="94" t="s">
        <v>33</v>
      </c>
      <c r="S4" s="88" t="s">
        <v>405</v>
      </c>
      <c r="T4" s="88" t="str">
        <f>+CONCATENATE(Q4," ",S4," ",R4)</f>
        <v>Healthnet Prime Plan-1 Dubai</v>
      </c>
      <c r="U4" s="113">
        <f>V4/(1-$H$4)</f>
        <v>506</v>
      </c>
      <c r="V4" s="97">
        <v>420</v>
      </c>
    </row>
    <row r="5" spans="1:22" x14ac:dyDescent="0.3">
      <c r="A5" s="18" t="s">
        <v>82</v>
      </c>
      <c r="B5" s="18" t="s">
        <v>470</v>
      </c>
      <c r="C5" s="18" t="s">
        <v>51</v>
      </c>
      <c r="D5" s="18" t="s">
        <v>23</v>
      </c>
      <c r="E5" s="18" t="s">
        <v>18</v>
      </c>
      <c r="F5" s="18" t="s">
        <v>471</v>
      </c>
      <c r="G5" s="18" t="s">
        <v>489</v>
      </c>
      <c r="H5" s="18" t="s">
        <v>172</v>
      </c>
      <c r="I5" s="112" t="s">
        <v>540</v>
      </c>
      <c r="J5" s="112" t="s">
        <v>173</v>
      </c>
      <c r="K5" s="112" t="s">
        <v>580</v>
      </c>
      <c r="L5" s="112" t="s">
        <v>562</v>
      </c>
      <c r="M5" s="112" t="s">
        <v>583</v>
      </c>
      <c r="N5" s="112" t="s">
        <v>0</v>
      </c>
      <c r="O5" s="171" t="s">
        <v>51</v>
      </c>
      <c r="Q5" s="94" t="s">
        <v>128</v>
      </c>
      <c r="R5" s="94" t="s">
        <v>33</v>
      </c>
      <c r="S5" s="88" t="s">
        <v>406</v>
      </c>
      <c r="T5" s="88" t="str">
        <f t="shared" ref="T5:T19" si="0">+CONCATENATE(Q5," ",S5," ",R5)</f>
        <v>Healthnet Prime Plan-2 Dubai</v>
      </c>
      <c r="U5" s="113">
        <f t="shared" ref="U5:U19" si="1">V5/(1-$H$4)</f>
        <v>422</v>
      </c>
      <c r="V5" s="97">
        <v>350</v>
      </c>
    </row>
    <row r="6" spans="1:22" x14ac:dyDescent="0.3">
      <c r="A6" s="88" t="s">
        <v>128</v>
      </c>
      <c r="B6" s="88" t="s">
        <v>33</v>
      </c>
      <c r="C6" s="88" t="s">
        <v>405</v>
      </c>
      <c r="D6" s="89" t="s">
        <v>45</v>
      </c>
      <c r="E6" s="89" t="s">
        <v>5</v>
      </c>
      <c r="F6" s="89" t="str">
        <f>+CONCATENATE(A6," ",C6," ",B6," ",D6," ",E6)</f>
        <v>Healthnet Prime Plan-1 Dubai 00-17 Male</v>
      </c>
      <c r="G6" s="19" t="str">
        <f>CONCATENATE(C6," ",D6," ",E6)</f>
        <v>Prime Plan-1 00-17 Male</v>
      </c>
      <c r="H6" s="36">
        <f t="shared" ref="H6:H37" si="2">ROUND(M6/(1-$H$4),0)</f>
        <v>6946</v>
      </c>
      <c r="I6" s="151">
        <v>54.6</v>
      </c>
      <c r="J6" s="36">
        <v>5034</v>
      </c>
      <c r="K6" s="36">
        <f>J6+(J6*10%)</f>
        <v>5537</v>
      </c>
      <c r="L6" s="36">
        <v>173</v>
      </c>
      <c r="M6" s="36">
        <f>L6+K6+I6</f>
        <v>5765</v>
      </c>
      <c r="N6" s="36" t="s">
        <v>382</v>
      </c>
      <c r="O6" s="17"/>
      <c r="Q6" s="94" t="s">
        <v>128</v>
      </c>
      <c r="R6" s="94" t="s">
        <v>33</v>
      </c>
      <c r="S6" s="88" t="s">
        <v>454</v>
      </c>
      <c r="T6" s="88" t="str">
        <f t="shared" si="0"/>
        <v>Healthnet Classic Plan-1 Dubai</v>
      </c>
      <c r="U6" s="113">
        <f t="shared" si="1"/>
        <v>422</v>
      </c>
      <c r="V6" s="97">
        <v>350</v>
      </c>
    </row>
    <row r="7" spans="1:22" x14ac:dyDescent="0.3">
      <c r="A7" s="88" t="s">
        <v>128</v>
      </c>
      <c r="B7" s="88" t="s">
        <v>33</v>
      </c>
      <c r="C7" s="88" t="s">
        <v>405</v>
      </c>
      <c r="D7" s="90" t="s">
        <v>46</v>
      </c>
      <c r="E7" s="89" t="s">
        <v>5</v>
      </c>
      <c r="F7" s="89" t="str">
        <f t="shared" ref="F7:F69" si="3">+CONCATENATE(A7," ",C7," ",B7," ",D7," ",E7)</f>
        <v>Healthnet Prime Plan-1 Dubai 18-35 Male</v>
      </c>
      <c r="G7" s="19" t="str">
        <f t="shared" ref="G7:G61" si="4">CONCATENATE(C7," ",D7," ",E7)</f>
        <v>Prime Plan-1 18-35 Male</v>
      </c>
      <c r="H7" s="36">
        <f t="shared" si="2"/>
        <v>8028</v>
      </c>
      <c r="I7" s="151">
        <v>54.6</v>
      </c>
      <c r="J7" s="36">
        <v>5850</v>
      </c>
      <c r="K7" s="36">
        <f t="shared" ref="K7:K12" si="5">J7+(J7*10%)</f>
        <v>6435</v>
      </c>
      <c r="L7" s="36">
        <v>173</v>
      </c>
      <c r="M7" s="36">
        <f t="shared" ref="M7:M70" si="6">L7+K7+I7</f>
        <v>6663</v>
      </c>
      <c r="N7" s="36" t="s">
        <v>382</v>
      </c>
      <c r="O7" s="17"/>
      <c r="Q7" s="94" t="s">
        <v>128</v>
      </c>
      <c r="R7" s="94" t="s">
        <v>33</v>
      </c>
      <c r="S7" s="88" t="s">
        <v>455</v>
      </c>
      <c r="T7" s="88" t="str">
        <f t="shared" si="0"/>
        <v>Healthnet Classic Plan-2 Dubai</v>
      </c>
      <c r="U7" s="113">
        <f t="shared" si="1"/>
        <v>361</v>
      </c>
      <c r="V7" s="97">
        <v>300</v>
      </c>
    </row>
    <row r="8" spans="1:22" x14ac:dyDescent="0.3">
      <c r="A8" s="88" t="s">
        <v>128</v>
      </c>
      <c r="B8" s="88" t="s">
        <v>33</v>
      </c>
      <c r="C8" s="88" t="s">
        <v>405</v>
      </c>
      <c r="D8" s="89" t="s">
        <v>47</v>
      </c>
      <c r="E8" s="89" t="s">
        <v>5</v>
      </c>
      <c r="F8" s="89" t="str">
        <f t="shared" si="3"/>
        <v>Healthnet Prime Plan-1 Dubai 36-45 Male</v>
      </c>
      <c r="G8" s="19" t="str">
        <f t="shared" si="4"/>
        <v>Prime Plan-1 36-45 Male</v>
      </c>
      <c r="H8" s="36">
        <f t="shared" si="2"/>
        <v>9508</v>
      </c>
      <c r="I8" s="151">
        <v>54.6</v>
      </c>
      <c r="J8" s="36">
        <v>6967</v>
      </c>
      <c r="K8" s="36">
        <f t="shared" si="5"/>
        <v>7664</v>
      </c>
      <c r="L8" s="36">
        <v>173</v>
      </c>
      <c r="M8" s="36">
        <f t="shared" si="6"/>
        <v>7892</v>
      </c>
      <c r="N8" s="36" t="s">
        <v>382</v>
      </c>
      <c r="O8" s="17"/>
      <c r="Q8" s="94" t="s">
        <v>128</v>
      </c>
      <c r="R8" s="94" t="s">
        <v>33</v>
      </c>
      <c r="S8" s="88" t="s">
        <v>456</v>
      </c>
      <c r="T8" s="88" t="str">
        <f t="shared" si="0"/>
        <v>Healthnet Classic Plan-3 Dubai</v>
      </c>
      <c r="U8" s="113">
        <f t="shared" si="1"/>
        <v>361</v>
      </c>
      <c r="V8" s="97">
        <v>300</v>
      </c>
    </row>
    <row r="9" spans="1:22" x14ac:dyDescent="0.3">
      <c r="A9" s="88" t="s">
        <v>128</v>
      </c>
      <c r="B9" s="88" t="s">
        <v>33</v>
      </c>
      <c r="C9" s="88" t="s">
        <v>405</v>
      </c>
      <c r="D9" s="90" t="s">
        <v>48</v>
      </c>
      <c r="E9" s="89" t="s">
        <v>5</v>
      </c>
      <c r="F9" s="89" t="str">
        <f t="shared" si="3"/>
        <v>Healthnet Prime Plan-1 Dubai 46-55 Male</v>
      </c>
      <c r="G9" s="19" t="str">
        <f t="shared" si="4"/>
        <v>Prime Plan-1 46-55 Male</v>
      </c>
      <c r="H9" s="36">
        <f t="shared" si="2"/>
        <v>16543</v>
      </c>
      <c r="I9" s="151">
        <v>54.6</v>
      </c>
      <c r="J9" s="36">
        <v>12275</v>
      </c>
      <c r="K9" s="36">
        <f t="shared" si="5"/>
        <v>13503</v>
      </c>
      <c r="L9" s="36">
        <v>173</v>
      </c>
      <c r="M9" s="36">
        <f t="shared" ref="M9:M14" si="7">L9+K9+I9</f>
        <v>13731</v>
      </c>
      <c r="N9" s="36" t="s">
        <v>382</v>
      </c>
      <c r="O9" s="17"/>
      <c r="Q9" s="94" t="s">
        <v>128</v>
      </c>
      <c r="R9" s="94" t="s">
        <v>33</v>
      </c>
      <c r="S9" s="88" t="s">
        <v>457</v>
      </c>
      <c r="T9" s="88" t="str">
        <f t="shared" si="0"/>
        <v>Healthnet Classic Plan-4 Dubai</v>
      </c>
      <c r="U9" s="113">
        <f t="shared" si="1"/>
        <v>361</v>
      </c>
      <c r="V9" s="97">
        <v>300</v>
      </c>
    </row>
    <row r="10" spans="1:22" x14ac:dyDescent="0.3">
      <c r="A10" s="88" t="s">
        <v>128</v>
      </c>
      <c r="B10" s="88" t="s">
        <v>33</v>
      </c>
      <c r="C10" s="88" t="s">
        <v>405</v>
      </c>
      <c r="D10" s="89" t="s">
        <v>9</v>
      </c>
      <c r="E10" s="89" t="s">
        <v>5</v>
      </c>
      <c r="F10" s="89" t="str">
        <f t="shared" si="3"/>
        <v>Healthnet Prime Plan-1 Dubai 56-59 Male</v>
      </c>
      <c r="G10" s="19" t="str">
        <f t="shared" si="4"/>
        <v>Prime Plan-1 56-59 Male</v>
      </c>
      <c r="H10" s="36">
        <f t="shared" si="2"/>
        <v>20589</v>
      </c>
      <c r="I10" s="151">
        <v>54.6</v>
      </c>
      <c r="J10" s="36">
        <v>15328</v>
      </c>
      <c r="K10" s="36">
        <f t="shared" si="5"/>
        <v>16861</v>
      </c>
      <c r="L10" s="36">
        <v>173</v>
      </c>
      <c r="M10" s="36">
        <f t="shared" si="7"/>
        <v>17089</v>
      </c>
      <c r="N10" s="36" t="s">
        <v>382</v>
      </c>
      <c r="O10" s="17"/>
      <c r="Q10" s="94" t="s">
        <v>128</v>
      </c>
      <c r="R10" s="94" t="s">
        <v>33</v>
      </c>
      <c r="S10" s="88" t="s">
        <v>458</v>
      </c>
      <c r="T10" s="88" t="str">
        <f t="shared" si="0"/>
        <v>Healthnet Classic Plan-1R Dubai</v>
      </c>
      <c r="U10" s="113">
        <f t="shared" si="1"/>
        <v>422</v>
      </c>
      <c r="V10" s="97">
        <v>350</v>
      </c>
    </row>
    <row r="11" spans="1:22" x14ac:dyDescent="0.3">
      <c r="A11" s="88" t="s">
        <v>128</v>
      </c>
      <c r="B11" s="88" t="s">
        <v>33</v>
      </c>
      <c r="C11" s="88" t="s">
        <v>405</v>
      </c>
      <c r="D11" s="90" t="s">
        <v>49</v>
      </c>
      <c r="E11" s="89" t="s">
        <v>5</v>
      </c>
      <c r="F11" s="89" t="str">
        <f t="shared" si="3"/>
        <v>Healthnet Prime Plan-1 Dubai 60-65 Male</v>
      </c>
      <c r="G11" s="19" t="str">
        <f>CONCATENATE(C11," ",D11," ",E11)</f>
        <v>Prime Plan-1 60-65 Male</v>
      </c>
      <c r="H11" s="36">
        <f t="shared" si="2"/>
        <v>29765</v>
      </c>
      <c r="I11" s="151">
        <v>54.6</v>
      </c>
      <c r="J11" s="36">
        <v>22252</v>
      </c>
      <c r="K11" s="36">
        <f t="shared" si="5"/>
        <v>24477</v>
      </c>
      <c r="L11" s="36">
        <v>173</v>
      </c>
      <c r="M11" s="36">
        <f t="shared" si="7"/>
        <v>24705</v>
      </c>
      <c r="N11" s="36" t="s">
        <v>382</v>
      </c>
      <c r="O11" s="17"/>
      <c r="Q11" s="94" t="s">
        <v>128</v>
      </c>
      <c r="R11" s="94" t="s">
        <v>33</v>
      </c>
      <c r="S11" s="88" t="s">
        <v>459</v>
      </c>
      <c r="T11" s="88" t="str">
        <f t="shared" si="0"/>
        <v>Healthnet Classic Plan-2R Dubai</v>
      </c>
      <c r="U11" s="113">
        <f t="shared" si="1"/>
        <v>361</v>
      </c>
      <c r="V11" s="97">
        <v>300</v>
      </c>
    </row>
    <row r="12" spans="1:22" x14ac:dyDescent="0.3">
      <c r="A12" s="88" t="s">
        <v>128</v>
      </c>
      <c r="B12" s="88" t="s">
        <v>33</v>
      </c>
      <c r="C12" s="88" t="s">
        <v>405</v>
      </c>
      <c r="D12" s="89" t="s">
        <v>437</v>
      </c>
      <c r="E12" s="89" t="s">
        <v>5</v>
      </c>
      <c r="F12" s="89" t="str">
        <f t="shared" si="3"/>
        <v>Healthnet Prime Plan-1 Dubai 66-70 Male</v>
      </c>
      <c r="G12" s="19" t="str">
        <f t="shared" si="4"/>
        <v>Prime Plan-1 66-70 Male</v>
      </c>
      <c r="H12" s="36">
        <f t="shared" si="2"/>
        <v>46581</v>
      </c>
      <c r="I12" s="151">
        <v>54.6</v>
      </c>
      <c r="J12" s="36">
        <v>34940</v>
      </c>
      <c r="K12" s="36">
        <f t="shared" si="5"/>
        <v>38434</v>
      </c>
      <c r="L12" s="36">
        <v>173</v>
      </c>
      <c r="M12" s="36">
        <f t="shared" si="7"/>
        <v>38662</v>
      </c>
      <c r="N12" s="36" t="s">
        <v>382</v>
      </c>
      <c r="O12" s="17"/>
      <c r="Q12" s="94" t="s">
        <v>128</v>
      </c>
      <c r="R12" s="94" t="s">
        <v>33</v>
      </c>
      <c r="S12" s="88" t="s">
        <v>460</v>
      </c>
      <c r="T12" s="88" t="str">
        <f t="shared" si="0"/>
        <v>Healthnet Classic Plan-3R Dubai</v>
      </c>
      <c r="U12" s="113">
        <f t="shared" si="1"/>
        <v>361</v>
      </c>
      <c r="V12" s="97">
        <v>300</v>
      </c>
    </row>
    <row r="13" spans="1:22" x14ac:dyDescent="0.3">
      <c r="A13" s="88" t="s">
        <v>128</v>
      </c>
      <c r="B13" s="88" t="s">
        <v>33</v>
      </c>
      <c r="C13" s="88" t="s">
        <v>405</v>
      </c>
      <c r="D13" s="89" t="s">
        <v>45</v>
      </c>
      <c r="E13" s="89" t="s">
        <v>7</v>
      </c>
      <c r="F13" s="89" t="str">
        <f t="shared" si="3"/>
        <v>Healthnet Prime Plan-1 Dubai 00-17 Female</v>
      </c>
      <c r="G13" s="19" t="str">
        <f t="shared" si="4"/>
        <v>Prime Plan-1 00-17 Female</v>
      </c>
      <c r="H13" s="36">
        <f t="shared" si="2"/>
        <v>7917</v>
      </c>
      <c r="I13" s="151">
        <v>54.6</v>
      </c>
      <c r="J13" s="36">
        <v>5286</v>
      </c>
      <c r="K13" s="36">
        <f>J13+(J13*20%)</f>
        <v>6343</v>
      </c>
      <c r="L13" s="36">
        <v>173</v>
      </c>
      <c r="M13" s="36">
        <f t="shared" si="7"/>
        <v>6571</v>
      </c>
      <c r="N13" s="36" t="s">
        <v>382</v>
      </c>
      <c r="O13" s="17"/>
      <c r="Q13" s="94" t="s">
        <v>128</v>
      </c>
      <c r="R13" s="94" t="s">
        <v>33</v>
      </c>
      <c r="S13" s="88" t="s">
        <v>461</v>
      </c>
      <c r="T13" s="88" t="str">
        <f t="shared" si="0"/>
        <v>Healthnet Classic Plan-4R Dubai</v>
      </c>
      <c r="U13" s="113">
        <f t="shared" si="1"/>
        <v>361</v>
      </c>
      <c r="V13" s="97">
        <v>300</v>
      </c>
    </row>
    <row r="14" spans="1:22" x14ac:dyDescent="0.3">
      <c r="A14" s="88" t="s">
        <v>128</v>
      </c>
      <c r="B14" s="88" t="s">
        <v>33</v>
      </c>
      <c r="C14" s="88" t="s">
        <v>405</v>
      </c>
      <c r="D14" s="90" t="s">
        <v>46</v>
      </c>
      <c r="E14" s="89" t="s">
        <v>7</v>
      </c>
      <c r="F14" s="89" t="str">
        <f t="shared" si="3"/>
        <v>Healthnet Prime Plan-1 Dubai 18-35 Female</v>
      </c>
      <c r="G14" s="19" t="str">
        <f t="shared" si="4"/>
        <v>Prime Plan-1 18-35 Female</v>
      </c>
      <c r="H14" s="36">
        <f t="shared" si="2"/>
        <v>9158</v>
      </c>
      <c r="I14" s="151">
        <v>54.6</v>
      </c>
      <c r="J14" s="36">
        <v>6144</v>
      </c>
      <c r="K14" s="36">
        <f t="shared" ref="K14:K19" si="8">J14+(J14*20%)</f>
        <v>7373</v>
      </c>
      <c r="L14" s="36">
        <v>173</v>
      </c>
      <c r="M14" s="36">
        <f t="shared" si="7"/>
        <v>7601</v>
      </c>
      <c r="N14" s="36" t="s">
        <v>382</v>
      </c>
      <c r="O14" s="17"/>
      <c r="Q14" s="94" t="s">
        <v>128</v>
      </c>
      <c r="R14" s="94" t="s">
        <v>34</v>
      </c>
      <c r="S14" s="88" t="s">
        <v>430</v>
      </c>
      <c r="T14" s="88" t="str">
        <f t="shared" si="0"/>
        <v>Healthnet Prime Plan-1-AUH Abu Dhabi</v>
      </c>
      <c r="U14" s="113">
        <f t="shared" si="1"/>
        <v>506</v>
      </c>
      <c r="V14" s="97">
        <v>420</v>
      </c>
    </row>
    <row r="15" spans="1:22" x14ac:dyDescent="0.3">
      <c r="A15" s="88" t="s">
        <v>128</v>
      </c>
      <c r="B15" s="88" t="s">
        <v>33</v>
      </c>
      <c r="C15" s="88" t="s">
        <v>405</v>
      </c>
      <c r="D15" s="89" t="s">
        <v>47</v>
      </c>
      <c r="E15" s="89" t="s">
        <v>7</v>
      </c>
      <c r="F15" s="89" t="str">
        <f t="shared" si="3"/>
        <v>Healthnet Prime Plan-1 Dubai 36-45 Female</v>
      </c>
      <c r="G15" s="19" t="str">
        <f t="shared" si="4"/>
        <v>Prime Plan-1 36-45 Female</v>
      </c>
      <c r="H15" s="36">
        <f t="shared" si="2"/>
        <v>10852</v>
      </c>
      <c r="I15" s="151">
        <v>54.6</v>
      </c>
      <c r="J15" s="36">
        <v>7316</v>
      </c>
      <c r="K15" s="36">
        <f t="shared" si="8"/>
        <v>8779</v>
      </c>
      <c r="L15" s="36">
        <v>173</v>
      </c>
      <c r="M15" s="36">
        <f t="shared" si="6"/>
        <v>9007</v>
      </c>
      <c r="N15" s="36" t="s">
        <v>382</v>
      </c>
      <c r="O15" s="17"/>
      <c r="Q15" s="94" t="s">
        <v>128</v>
      </c>
      <c r="R15" s="94" t="s">
        <v>34</v>
      </c>
      <c r="S15" s="88" t="s">
        <v>431</v>
      </c>
      <c r="T15" s="88" t="str">
        <f t="shared" si="0"/>
        <v>Healthnet Prime Plan-2-AUH Abu Dhabi</v>
      </c>
      <c r="U15" s="113">
        <f t="shared" si="1"/>
        <v>422</v>
      </c>
      <c r="V15" s="97">
        <v>350</v>
      </c>
    </row>
    <row r="16" spans="1:22" x14ac:dyDescent="0.3">
      <c r="A16" s="88" t="s">
        <v>128</v>
      </c>
      <c r="B16" s="88" t="s">
        <v>33</v>
      </c>
      <c r="C16" s="88" t="s">
        <v>405</v>
      </c>
      <c r="D16" s="90" t="s">
        <v>48</v>
      </c>
      <c r="E16" s="89" t="s">
        <v>7</v>
      </c>
      <c r="F16" s="89" t="str">
        <f t="shared" si="3"/>
        <v>Healthnet Prime Plan-1 Dubai 46-55 Female</v>
      </c>
      <c r="G16" s="19" t="str">
        <f t="shared" si="4"/>
        <v>Prime Plan-1 46-55 Female</v>
      </c>
      <c r="H16" s="36">
        <f t="shared" si="2"/>
        <v>20554</v>
      </c>
      <c r="I16" s="151">
        <v>54.6</v>
      </c>
      <c r="J16" s="36">
        <v>14027</v>
      </c>
      <c r="K16" s="36">
        <f t="shared" si="8"/>
        <v>16832</v>
      </c>
      <c r="L16" s="36">
        <v>173</v>
      </c>
      <c r="M16" s="36">
        <f t="shared" si="6"/>
        <v>17060</v>
      </c>
      <c r="N16" s="36" t="s">
        <v>382</v>
      </c>
      <c r="O16" s="17"/>
      <c r="Q16" s="94" t="s">
        <v>128</v>
      </c>
      <c r="R16" s="94" t="s">
        <v>34</v>
      </c>
      <c r="S16" s="88" t="s">
        <v>462</v>
      </c>
      <c r="T16" s="88" t="str">
        <f t="shared" si="0"/>
        <v>Healthnet Classic Plan-1-AUH Abu Dhabi</v>
      </c>
      <c r="U16" s="113">
        <f t="shared" si="1"/>
        <v>422</v>
      </c>
      <c r="V16" s="97">
        <v>350</v>
      </c>
    </row>
    <row r="17" spans="1:29" x14ac:dyDescent="0.3">
      <c r="A17" s="88" t="s">
        <v>128</v>
      </c>
      <c r="B17" s="88" t="s">
        <v>33</v>
      </c>
      <c r="C17" s="88" t="s">
        <v>405</v>
      </c>
      <c r="D17" s="89" t="s">
        <v>9</v>
      </c>
      <c r="E17" s="89" t="s">
        <v>7</v>
      </c>
      <c r="F17" s="89" t="str">
        <f t="shared" si="3"/>
        <v>Healthnet Prime Plan-1 Dubai 56-59 Female</v>
      </c>
      <c r="G17" s="19" t="str">
        <f t="shared" si="4"/>
        <v>Prime Plan-1 56-59 Female</v>
      </c>
      <c r="H17" s="36">
        <f t="shared" si="2"/>
        <v>25848</v>
      </c>
      <c r="I17" s="151">
        <v>54.6</v>
      </c>
      <c r="J17" s="36">
        <v>17688</v>
      </c>
      <c r="K17" s="36">
        <f t="shared" si="8"/>
        <v>21226</v>
      </c>
      <c r="L17" s="36">
        <v>173</v>
      </c>
      <c r="M17" s="36">
        <f t="shared" si="6"/>
        <v>21454</v>
      </c>
      <c r="N17" s="36" t="s">
        <v>382</v>
      </c>
      <c r="O17" s="92"/>
      <c r="Q17" s="94" t="s">
        <v>128</v>
      </c>
      <c r="R17" s="94" t="s">
        <v>34</v>
      </c>
      <c r="S17" s="88" t="s">
        <v>463</v>
      </c>
      <c r="T17" s="88" t="str">
        <f t="shared" si="0"/>
        <v>Healthnet Classic Plan-2-AUH Abu Dhabi</v>
      </c>
      <c r="U17" s="113">
        <f t="shared" si="1"/>
        <v>361</v>
      </c>
      <c r="V17" s="97">
        <v>300</v>
      </c>
    </row>
    <row r="18" spans="1:29" x14ac:dyDescent="0.3">
      <c r="A18" s="88" t="s">
        <v>128</v>
      </c>
      <c r="B18" s="88" t="s">
        <v>33</v>
      </c>
      <c r="C18" s="88" t="s">
        <v>405</v>
      </c>
      <c r="D18" s="90" t="s">
        <v>49</v>
      </c>
      <c r="E18" s="89" t="s">
        <v>7</v>
      </c>
      <c r="F18" s="89" t="str">
        <f t="shared" si="3"/>
        <v>Healthnet Prime Plan-1 Dubai 60-65 Female</v>
      </c>
      <c r="G18" s="19" t="str">
        <f t="shared" si="4"/>
        <v>Prime Plan-1 60-65 Female</v>
      </c>
      <c r="H18" s="36">
        <f t="shared" si="2"/>
        <v>34054</v>
      </c>
      <c r="I18" s="151">
        <v>54.6</v>
      </c>
      <c r="J18" s="36">
        <v>23364</v>
      </c>
      <c r="K18" s="36">
        <f t="shared" si="8"/>
        <v>28037</v>
      </c>
      <c r="L18" s="36">
        <v>173</v>
      </c>
      <c r="M18" s="36">
        <f t="shared" si="6"/>
        <v>28265</v>
      </c>
      <c r="N18" s="36" t="s">
        <v>382</v>
      </c>
      <c r="O18" s="92"/>
      <c r="Q18" s="94" t="s">
        <v>128</v>
      </c>
      <c r="R18" s="94" t="s">
        <v>34</v>
      </c>
      <c r="S18" s="88" t="s">
        <v>464</v>
      </c>
      <c r="T18" s="88" t="str">
        <f t="shared" si="0"/>
        <v>Healthnet Classic Plan-3-AUH Abu Dhabi</v>
      </c>
      <c r="U18" s="113">
        <f t="shared" si="1"/>
        <v>361</v>
      </c>
      <c r="V18" s="97">
        <v>300</v>
      </c>
    </row>
    <row r="19" spans="1:29" x14ac:dyDescent="0.3">
      <c r="A19" s="88" t="s">
        <v>128</v>
      </c>
      <c r="B19" s="88" t="s">
        <v>33</v>
      </c>
      <c r="C19" s="88" t="s">
        <v>405</v>
      </c>
      <c r="D19" s="89" t="s">
        <v>437</v>
      </c>
      <c r="E19" s="89" t="s">
        <v>7</v>
      </c>
      <c r="F19" s="89" t="str">
        <f t="shared" si="3"/>
        <v>Healthnet Prime Plan-1 Dubai 66-70 Female</v>
      </c>
      <c r="G19" s="19" t="str">
        <f t="shared" si="4"/>
        <v>Prime Plan-1 66-70 Female</v>
      </c>
      <c r="H19" s="36">
        <f t="shared" si="2"/>
        <v>53318</v>
      </c>
      <c r="I19" s="151">
        <v>54.6</v>
      </c>
      <c r="J19" s="36">
        <v>36688</v>
      </c>
      <c r="K19" s="36">
        <f t="shared" si="8"/>
        <v>44026</v>
      </c>
      <c r="L19" s="36">
        <v>173</v>
      </c>
      <c r="M19" s="36">
        <f t="shared" si="6"/>
        <v>44254</v>
      </c>
      <c r="N19" s="36" t="s">
        <v>382</v>
      </c>
      <c r="O19" s="92"/>
      <c r="Q19" s="94" t="s">
        <v>128</v>
      </c>
      <c r="R19" s="94" t="s">
        <v>34</v>
      </c>
      <c r="S19" s="88" t="s">
        <v>465</v>
      </c>
      <c r="T19" s="88" t="str">
        <f t="shared" si="0"/>
        <v>Healthnet Classic Plan-4-AUH Abu Dhabi</v>
      </c>
      <c r="U19" s="113">
        <f t="shared" si="1"/>
        <v>361</v>
      </c>
      <c r="V19" s="97">
        <v>300</v>
      </c>
    </row>
    <row r="20" spans="1:29" x14ac:dyDescent="0.3">
      <c r="A20" s="88" t="s">
        <v>128</v>
      </c>
      <c r="B20" s="88" t="s">
        <v>33</v>
      </c>
      <c r="C20" s="88" t="s">
        <v>406</v>
      </c>
      <c r="D20" s="89" t="s">
        <v>45</v>
      </c>
      <c r="E20" s="89" t="s">
        <v>5</v>
      </c>
      <c r="F20" s="89" t="str">
        <f t="shared" si="3"/>
        <v>Healthnet Prime Plan-2 Dubai 00-17 Male</v>
      </c>
      <c r="G20" s="19" t="str">
        <f t="shared" si="4"/>
        <v>Prime Plan-2 00-17 Male</v>
      </c>
      <c r="H20" s="36">
        <f t="shared" si="2"/>
        <v>5835</v>
      </c>
      <c r="I20" s="151">
        <v>54.6</v>
      </c>
      <c r="J20" s="36">
        <v>4195</v>
      </c>
      <c r="K20" s="36">
        <f t="shared" ref="K20:K26" si="9">J20+(J20*10%)</f>
        <v>4615</v>
      </c>
      <c r="L20" s="36">
        <v>173</v>
      </c>
      <c r="M20" s="36">
        <f t="shared" si="6"/>
        <v>4843</v>
      </c>
      <c r="N20" s="36" t="s">
        <v>566</v>
      </c>
      <c r="O20" s="17"/>
    </row>
    <row r="21" spans="1:29" x14ac:dyDescent="0.3">
      <c r="A21" s="88" t="s">
        <v>128</v>
      </c>
      <c r="B21" s="88" t="s">
        <v>33</v>
      </c>
      <c r="C21" s="88" t="s">
        <v>406</v>
      </c>
      <c r="D21" s="90" t="s">
        <v>46</v>
      </c>
      <c r="E21" s="89" t="s">
        <v>5</v>
      </c>
      <c r="F21" s="89" t="str">
        <f t="shared" si="3"/>
        <v>Healthnet Prime Plan-2 Dubai 18-35 Male</v>
      </c>
      <c r="G21" s="19" t="str">
        <f t="shared" si="4"/>
        <v>Prime Plan-2 18-35 Male</v>
      </c>
      <c r="H21" s="36">
        <f t="shared" si="2"/>
        <v>6736</v>
      </c>
      <c r="I21" s="151">
        <v>54.6</v>
      </c>
      <c r="J21" s="36">
        <v>4875</v>
      </c>
      <c r="K21" s="36">
        <f t="shared" si="9"/>
        <v>5363</v>
      </c>
      <c r="L21" s="36">
        <v>173</v>
      </c>
      <c r="M21" s="36">
        <f t="shared" si="6"/>
        <v>5591</v>
      </c>
      <c r="N21" s="36" t="s">
        <v>566</v>
      </c>
      <c r="O21" s="17"/>
    </row>
    <row r="22" spans="1:29" x14ac:dyDescent="0.3">
      <c r="A22" s="88" t="s">
        <v>128</v>
      </c>
      <c r="B22" s="88" t="s">
        <v>33</v>
      </c>
      <c r="C22" s="88" t="s">
        <v>406</v>
      </c>
      <c r="D22" s="89" t="s">
        <v>47</v>
      </c>
      <c r="E22" s="89" t="s">
        <v>5</v>
      </c>
      <c r="F22" s="89" t="str">
        <f t="shared" si="3"/>
        <v>Healthnet Prime Plan-2 Dubai 36-45 Male</v>
      </c>
      <c r="G22" s="19" t="str">
        <f t="shared" si="4"/>
        <v>Prime Plan-2 36-45 Male</v>
      </c>
      <c r="H22" s="36">
        <f t="shared" si="2"/>
        <v>7970</v>
      </c>
      <c r="I22" s="151">
        <v>54.6</v>
      </c>
      <c r="J22" s="36">
        <v>5806</v>
      </c>
      <c r="K22" s="36">
        <f t="shared" si="9"/>
        <v>6387</v>
      </c>
      <c r="L22" s="36">
        <v>173</v>
      </c>
      <c r="M22" s="36">
        <f t="shared" si="6"/>
        <v>6615</v>
      </c>
      <c r="N22" s="36" t="s">
        <v>566</v>
      </c>
      <c r="O22" s="17"/>
    </row>
    <row r="23" spans="1:29" x14ac:dyDescent="0.3">
      <c r="A23" s="88" t="s">
        <v>128</v>
      </c>
      <c r="B23" s="88" t="s">
        <v>33</v>
      </c>
      <c r="C23" s="88" t="s">
        <v>406</v>
      </c>
      <c r="D23" s="90" t="s">
        <v>48</v>
      </c>
      <c r="E23" s="89" t="s">
        <v>5</v>
      </c>
      <c r="F23" s="89" t="str">
        <f t="shared" si="3"/>
        <v>Healthnet Prime Plan-2 Dubai 46-55 Male</v>
      </c>
      <c r="G23" s="19" t="str">
        <f t="shared" si="4"/>
        <v>Prime Plan-2 46-55 Male</v>
      </c>
      <c r="H23" s="36">
        <f t="shared" si="2"/>
        <v>13831</v>
      </c>
      <c r="I23" s="151">
        <v>54.6</v>
      </c>
      <c r="J23" s="36">
        <v>10229</v>
      </c>
      <c r="K23" s="36">
        <f t="shared" si="9"/>
        <v>11252</v>
      </c>
      <c r="L23" s="36">
        <v>173</v>
      </c>
      <c r="M23" s="36">
        <f t="shared" si="6"/>
        <v>11480</v>
      </c>
      <c r="N23" s="36" t="s">
        <v>566</v>
      </c>
      <c r="O23" s="17"/>
    </row>
    <row r="24" spans="1:29" x14ac:dyDescent="0.3">
      <c r="A24" s="88" t="s">
        <v>128</v>
      </c>
      <c r="B24" s="88" t="s">
        <v>33</v>
      </c>
      <c r="C24" s="88" t="s">
        <v>406</v>
      </c>
      <c r="D24" s="89" t="s">
        <v>9</v>
      </c>
      <c r="E24" s="89" t="s">
        <v>5</v>
      </c>
      <c r="F24" s="89" t="str">
        <f t="shared" si="3"/>
        <v>Healthnet Prime Plan-2 Dubai 56-59 Male</v>
      </c>
      <c r="G24" s="19" t="str">
        <f t="shared" si="4"/>
        <v>Prime Plan-2 56-59 Male</v>
      </c>
      <c r="H24" s="36">
        <f t="shared" si="2"/>
        <v>17202</v>
      </c>
      <c r="I24" s="151">
        <v>54.6</v>
      </c>
      <c r="J24" s="36">
        <v>12773</v>
      </c>
      <c r="K24" s="36">
        <f t="shared" si="9"/>
        <v>14050</v>
      </c>
      <c r="L24" s="36">
        <v>173</v>
      </c>
      <c r="M24" s="36">
        <f t="shared" si="6"/>
        <v>14278</v>
      </c>
      <c r="N24" s="36" t="s">
        <v>566</v>
      </c>
      <c r="O24" s="17"/>
    </row>
    <row r="25" spans="1:29" x14ac:dyDescent="0.3">
      <c r="A25" s="88" t="s">
        <v>128</v>
      </c>
      <c r="B25" s="88" t="s">
        <v>33</v>
      </c>
      <c r="C25" s="88" t="s">
        <v>406</v>
      </c>
      <c r="D25" s="90" t="s">
        <v>49</v>
      </c>
      <c r="E25" s="89" t="s">
        <v>5</v>
      </c>
      <c r="F25" s="89" t="str">
        <f t="shared" si="3"/>
        <v>Healthnet Prime Plan-2 Dubai 60-65 Male</v>
      </c>
      <c r="G25" s="19" t="str">
        <f t="shared" si="4"/>
        <v>Prime Plan-2 60-65 Male</v>
      </c>
      <c r="H25" s="36">
        <f t="shared" si="2"/>
        <v>24849</v>
      </c>
      <c r="I25" s="151">
        <v>54.6</v>
      </c>
      <c r="J25" s="36">
        <v>18543</v>
      </c>
      <c r="K25" s="36">
        <f t="shared" si="9"/>
        <v>20397</v>
      </c>
      <c r="L25" s="36">
        <v>173</v>
      </c>
      <c r="M25" s="36">
        <f t="shared" si="6"/>
        <v>20625</v>
      </c>
      <c r="N25" s="36" t="s">
        <v>566</v>
      </c>
      <c r="O25" s="17"/>
    </row>
    <row r="26" spans="1:29" x14ac:dyDescent="0.3">
      <c r="A26" s="88" t="s">
        <v>128</v>
      </c>
      <c r="B26" s="88" t="s">
        <v>33</v>
      </c>
      <c r="C26" s="88" t="s">
        <v>406</v>
      </c>
      <c r="D26" s="89" t="s">
        <v>437</v>
      </c>
      <c r="E26" s="89" t="s">
        <v>5</v>
      </c>
      <c r="F26" s="89" t="str">
        <f t="shared" si="3"/>
        <v>Healthnet Prime Plan-2 Dubai 66-70 Male</v>
      </c>
      <c r="G26" s="19" t="str">
        <f t="shared" si="4"/>
        <v>Prime Plan-2 66-70 Male</v>
      </c>
      <c r="H26" s="36">
        <f t="shared" si="2"/>
        <v>38864</v>
      </c>
      <c r="I26" s="151">
        <v>54.6</v>
      </c>
      <c r="J26" s="36">
        <v>29117</v>
      </c>
      <c r="K26" s="36">
        <f t="shared" si="9"/>
        <v>32029</v>
      </c>
      <c r="L26" s="36">
        <v>173</v>
      </c>
      <c r="M26" s="36">
        <f t="shared" si="6"/>
        <v>32257</v>
      </c>
      <c r="N26" s="36" t="s">
        <v>566</v>
      </c>
      <c r="O26" s="17"/>
    </row>
    <row r="27" spans="1:29" x14ac:dyDescent="0.3">
      <c r="A27" s="88" t="s">
        <v>128</v>
      </c>
      <c r="B27" s="88" t="s">
        <v>33</v>
      </c>
      <c r="C27" s="88" t="s">
        <v>406</v>
      </c>
      <c r="D27" s="89" t="s">
        <v>45</v>
      </c>
      <c r="E27" s="89" t="s">
        <v>7</v>
      </c>
      <c r="F27" s="89" t="str">
        <f t="shared" si="3"/>
        <v>Healthnet Prime Plan-2 Dubai 00-17 Female</v>
      </c>
      <c r="G27" s="19" t="str">
        <f t="shared" si="4"/>
        <v>Prime Plan-2 00-17 Female</v>
      </c>
      <c r="H27" s="36">
        <f t="shared" si="2"/>
        <v>6643</v>
      </c>
      <c r="I27" s="151">
        <v>54.6</v>
      </c>
      <c r="J27" s="36">
        <v>4405</v>
      </c>
      <c r="K27" s="36">
        <f t="shared" ref="K27:K33" si="10">J27+(J27*20%)</f>
        <v>5286</v>
      </c>
      <c r="L27" s="36">
        <v>173</v>
      </c>
      <c r="M27" s="36">
        <f t="shared" si="6"/>
        <v>5514</v>
      </c>
      <c r="N27" s="36" t="s">
        <v>566</v>
      </c>
      <c r="O27" s="17"/>
    </row>
    <row r="28" spans="1:29" x14ac:dyDescent="0.3">
      <c r="A28" s="88" t="s">
        <v>128</v>
      </c>
      <c r="B28" s="88" t="s">
        <v>33</v>
      </c>
      <c r="C28" s="88" t="s">
        <v>406</v>
      </c>
      <c r="D28" s="90" t="s">
        <v>46</v>
      </c>
      <c r="E28" s="89" t="s">
        <v>7</v>
      </c>
      <c r="F28" s="89" t="str">
        <f t="shared" si="3"/>
        <v>Healthnet Prime Plan-2 Dubai 18-35 Female</v>
      </c>
      <c r="G28" s="19" t="str">
        <f t="shared" si="4"/>
        <v>Prime Plan-2 18-35 Female</v>
      </c>
      <c r="H28" s="36">
        <f t="shared" si="2"/>
        <v>7677</v>
      </c>
      <c r="I28" s="151">
        <v>54.6</v>
      </c>
      <c r="J28" s="36">
        <v>5120</v>
      </c>
      <c r="K28" s="36">
        <f t="shared" si="10"/>
        <v>6144</v>
      </c>
      <c r="L28" s="36">
        <v>173</v>
      </c>
      <c r="M28" s="36">
        <f t="shared" si="6"/>
        <v>6372</v>
      </c>
      <c r="N28" s="36" t="s">
        <v>566</v>
      </c>
      <c r="O28" s="17"/>
    </row>
    <row r="29" spans="1:29" x14ac:dyDescent="0.3">
      <c r="A29" s="88" t="s">
        <v>128</v>
      </c>
      <c r="B29" s="88" t="s">
        <v>33</v>
      </c>
      <c r="C29" s="88" t="s">
        <v>406</v>
      </c>
      <c r="D29" s="89" t="s">
        <v>47</v>
      </c>
      <c r="E29" s="89" t="s">
        <v>7</v>
      </c>
      <c r="F29" s="89" t="str">
        <f t="shared" si="3"/>
        <v>Healthnet Prime Plan-2 Dubai 36-45 Female</v>
      </c>
      <c r="G29" s="19" t="str">
        <f t="shared" si="4"/>
        <v>Prime Plan-2 36-45 Female</v>
      </c>
      <c r="H29" s="36">
        <f t="shared" si="2"/>
        <v>9089</v>
      </c>
      <c r="I29" s="151">
        <v>54.6</v>
      </c>
      <c r="J29" s="36">
        <v>6097</v>
      </c>
      <c r="K29" s="36">
        <f t="shared" si="10"/>
        <v>7316</v>
      </c>
      <c r="L29" s="36">
        <v>173</v>
      </c>
      <c r="M29" s="36">
        <f t="shared" si="6"/>
        <v>7544</v>
      </c>
      <c r="N29" s="36" t="s">
        <v>566</v>
      </c>
      <c r="O29" s="17"/>
    </row>
    <row r="30" spans="1:29" x14ac:dyDescent="0.3">
      <c r="A30" s="88" t="s">
        <v>128</v>
      </c>
      <c r="B30" s="88" t="s">
        <v>33</v>
      </c>
      <c r="C30" s="88" t="s">
        <v>406</v>
      </c>
      <c r="D30" s="90" t="s">
        <v>48</v>
      </c>
      <c r="E30" s="89" t="s">
        <v>7</v>
      </c>
      <c r="F30" s="89" t="str">
        <f t="shared" si="3"/>
        <v>Healthnet Prime Plan-2 Dubai 46-55 Female</v>
      </c>
      <c r="G30" s="19" t="str">
        <f t="shared" si="4"/>
        <v>Prime Plan-2 46-55 Female</v>
      </c>
      <c r="H30" s="36">
        <f t="shared" si="2"/>
        <v>17175</v>
      </c>
      <c r="I30" s="151">
        <v>54.6</v>
      </c>
      <c r="J30" s="36">
        <v>11689</v>
      </c>
      <c r="K30" s="36">
        <f t="shared" si="10"/>
        <v>14027</v>
      </c>
      <c r="L30" s="36">
        <v>173</v>
      </c>
      <c r="M30" s="36">
        <f t="shared" si="6"/>
        <v>14255</v>
      </c>
      <c r="N30" s="36" t="s">
        <v>566</v>
      </c>
      <c r="O30" s="17"/>
      <c r="X30" s="18" t="s">
        <v>23</v>
      </c>
      <c r="Y30" s="18" t="s">
        <v>18</v>
      </c>
      <c r="Z30" s="18" t="s">
        <v>0</v>
      </c>
      <c r="AA30" s="99" t="s">
        <v>439</v>
      </c>
      <c r="AB30" s="99" t="s">
        <v>440</v>
      </c>
    </row>
    <row r="31" spans="1:29" x14ac:dyDescent="0.3">
      <c r="A31" s="88" t="s">
        <v>128</v>
      </c>
      <c r="B31" s="88" t="s">
        <v>33</v>
      </c>
      <c r="C31" s="88" t="s">
        <v>406</v>
      </c>
      <c r="D31" s="89" t="s">
        <v>9</v>
      </c>
      <c r="E31" s="89" t="s">
        <v>7</v>
      </c>
      <c r="F31" s="89" t="str">
        <f t="shared" si="3"/>
        <v>Healthnet Prime Plan-2 Dubai 56-59 Female</v>
      </c>
      <c r="G31" s="19" t="str">
        <f t="shared" si="4"/>
        <v>Prime Plan-2 56-59 Female</v>
      </c>
      <c r="H31" s="36">
        <f t="shared" si="2"/>
        <v>21586</v>
      </c>
      <c r="I31" s="151">
        <v>54.6</v>
      </c>
      <c r="J31" s="36">
        <v>14740</v>
      </c>
      <c r="K31" s="36">
        <f t="shared" si="10"/>
        <v>17688</v>
      </c>
      <c r="L31" s="36">
        <v>173</v>
      </c>
      <c r="M31" s="36">
        <f t="shared" si="6"/>
        <v>17916</v>
      </c>
      <c r="N31" s="36" t="s">
        <v>566</v>
      </c>
      <c r="O31" s="17"/>
      <c r="X31" s="94" t="s">
        <v>45</v>
      </c>
      <c r="Y31" s="94" t="s">
        <v>5</v>
      </c>
      <c r="Z31" s="195" t="s">
        <v>382</v>
      </c>
      <c r="AA31" s="93">
        <f t="shared" ref="AA31:AA42" si="11">AA45+(AA45*20%)</f>
        <v>4840</v>
      </c>
      <c r="AB31" s="93">
        <f>AA31+(AA31*$AC$34)</f>
        <v>4840</v>
      </c>
      <c r="AC31" s="198">
        <v>0.15</v>
      </c>
    </row>
    <row r="32" spans="1:29" x14ac:dyDescent="0.3">
      <c r="A32" s="88" t="s">
        <v>128</v>
      </c>
      <c r="B32" s="88" t="s">
        <v>33</v>
      </c>
      <c r="C32" s="88" t="s">
        <v>406</v>
      </c>
      <c r="D32" s="90" t="s">
        <v>49</v>
      </c>
      <c r="E32" s="89" t="s">
        <v>7</v>
      </c>
      <c r="F32" s="89" t="str">
        <f t="shared" si="3"/>
        <v>Healthnet Prime Plan-2 Dubai 60-65 Female</v>
      </c>
      <c r="G32" s="19" t="str">
        <f t="shared" si="4"/>
        <v>Prime Plan-2 60-65 Female</v>
      </c>
      <c r="H32" s="36">
        <f t="shared" si="2"/>
        <v>28424</v>
      </c>
      <c r="I32" s="151">
        <v>54.6</v>
      </c>
      <c r="J32" s="36">
        <v>19470</v>
      </c>
      <c r="K32" s="36">
        <f t="shared" si="10"/>
        <v>23364</v>
      </c>
      <c r="L32" s="36">
        <v>173</v>
      </c>
      <c r="M32" s="36">
        <f t="shared" si="6"/>
        <v>23592</v>
      </c>
      <c r="N32" s="36" t="s">
        <v>566</v>
      </c>
      <c r="O32" s="17"/>
      <c r="X32" s="94" t="s">
        <v>46</v>
      </c>
      <c r="Y32" s="94" t="s">
        <v>5</v>
      </c>
      <c r="Z32" s="196"/>
      <c r="AA32" s="93">
        <f t="shared" si="11"/>
        <v>5549</v>
      </c>
      <c r="AB32" s="93">
        <f>AA32+(AA32*$AC$34)</f>
        <v>5549</v>
      </c>
      <c r="AC32" s="196"/>
    </row>
    <row r="33" spans="1:29" x14ac:dyDescent="0.3">
      <c r="A33" s="88" t="s">
        <v>128</v>
      </c>
      <c r="B33" s="88" t="s">
        <v>33</v>
      </c>
      <c r="C33" s="88" t="s">
        <v>406</v>
      </c>
      <c r="D33" s="89" t="s">
        <v>437</v>
      </c>
      <c r="E33" s="89" t="s">
        <v>7</v>
      </c>
      <c r="F33" s="89" t="str">
        <f t="shared" si="3"/>
        <v>Healthnet Prime Plan-2 Dubai 66-70 Female</v>
      </c>
      <c r="G33" s="19" t="str">
        <f t="shared" si="4"/>
        <v>Prime Plan-2 66-70 Female</v>
      </c>
      <c r="H33" s="36">
        <f t="shared" si="2"/>
        <v>44477</v>
      </c>
      <c r="I33" s="151">
        <v>54.6</v>
      </c>
      <c r="J33" s="36">
        <v>30573</v>
      </c>
      <c r="K33" s="36">
        <f t="shared" si="10"/>
        <v>36688</v>
      </c>
      <c r="L33" s="36">
        <v>173</v>
      </c>
      <c r="M33" s="36">
        <f t="shared" si="6"/>
        <v>36916</v>
      </c>
      <c r="N33" s="36" t="s">
        <v>566</v>
      </c>
      <c r="O33" s="17"/>
      <c r="X33" s="94" t="s">
        <v>47</v>
      </c>
      <c r="Y33" s="94" t="s">
        <v>5</v>
      </c>
      <c r="Z33" s="196"/>
      <c r="AA33" s="93">
        <f t="shared" si="11"/>
        <v>6521</v>
      </c>
      <c r="AB33" s="93">
        <f t="shared" ref="AB33:AB44" si="12">AA33+(AA33*$AC$34)</f>
        <v>6521</v>
      </c>
      <c r="AC33" s="196"/>
    </row>
    <row r="34" spans="1:29" x14ac:dyDescent="0.3">
      <c r="A34" s="88" t="s">
        <v>128</v>
      </c>
      <c r="B34" s="88" t="s">
        <v>33</v>
      </c>
      <c r="C34" s="88" t="s">
        <v>454</v>
      </c>
      <c r="D34" s="89" t="s">
        <v>45</v>
      </c>
      <c r="E34" s="89" t="s">
        <v>5</v>
      </c>
      <c r="F34" s="89" t="str">
        <f t="shared" si="3"/>
        <v>Healthnet Classic Plan-1 Dubai 00-17 Male</v>
      </c>
      <c r="G34" s="19" t="str">
        <f t="shared" si="4"/>
        <v>Classic Plan-1 00-17 Male</v>
      </c>
      <c r="H34" s="36">
        <f t="shared" si="2"/>
        <v>4877</v>
      </c>
      <c r="I34" s="151">
        <v>54.6</v>
      </c>
      <c r="J34" s="36">
        <v>3473</v>
      </c>
      <c r="K34" s="36">
        <f t="shared" ref="K34:K40" si="13">J34+(J34*10%)</f>
        <v>3820</v>
      </c>
      <c r="L34" s="36">
        <v>173</v>
      </c>
      <c r="M34" s="36">
        <f t="shared" si="6"/>
        <v>4048</v>
      </c>
      <c r="N34" s="36" t="s">
        <v>384</v>
      </c>
      <c r="O34" s="17"/>
      <c r="X34" s="94" t="s">
        <v>48</v>
      </c>
      <c r="Y34" s="94" t="s">
        <v>5</v>
      </c>
      <c r="Z34" s="196"/>
      <c r="AA34" s="93">
        <f t="shared" si="11"/>
        <v>11136</v>
      </c>
      <c r="AB34" s="93">
        <f t="shared" si="12"/>
        <v>11136</v>
      </c>
      <c r="AC34" s="196"/>
    </row>
    <row r="35" spans="1:29" x14ac:dyDescent="0.3">
      <c r="A35" s="88" t="s">
        <v>128</v>
      </c>
      <c r="B35" s="88" t="s">
        <v>33</v>
      </c>
      <c r="C35" s="88" t="s">
        <v>454</v>
      </c>
      <c r="D35" s="90" t="s">
        <v>46</v>
      </c>
      <c r="E35" s="89" t="s">
        <v>5</v>
      </c>
      <c r="F35" s="89" t="str">
        <f t="shared" si="3"/>
        <v>Healthnet Classic Plan-1 Dubai 18-35 Male</v>
      </c>
      <c r="G35" s="19" t="str">
        <f t="shared" si="4"/>
        <v>Classic Plan-1 18-35 Male</v>
      </c>
      <c r="H35" s="36">
        <f t="shared" si="2"/>
        <v>5623</v>
      </c>
      <c r="I35" s="151">
        <v>54.6</v>
      </c>
      <c r="J35" s="36">
        <v>4035</v>
      </c>
      <c r="K35" s="36">
        <f t="shared" si="13"/>
        <v>4439</v>
      </c>
      <c r="L35" s="36">
        <v>173</v>
      </c>
      <c r="M35" s="36">
        <f t="shared" si="6"/>
        <v>4667</v>
      </c>
      <c r="N35" s="36" t="s">
        <v>384</v>
      </c>
      <c r="O35" s="17"/>
      <c r="X35" s="94" t="s">
        <v>9</v>
      </c>
      <c r="Y35" s="94" t="s">
        <v>5</v>
      </c>
      <c r="Z35" s="196"/>
      <c r="AA35" s="93">
        <f t="shared" si="11"/>
        <v>13790</v>
      </c>
      <c r="AB35" s="93">
        <f t="shared" si="12"/>
        <v>13790</v>
      </c>
      <c r="AC35" s="196"/>
    </row>
    <row r="36" spans="1:29" x14ac:dyDescent="0.3">
      <c r="A36" s="88" t="s">
        <v>128</v>
      </c>
      <c r="B36" s="88" t="s">
        <v>33</v>
      </c>
      <c r="C36" s="88" t="s">
        <v>454</v>
      </c>
      <c r="D36" s="89" t="s">
        <v>47</v>
      </c>
      <c r="E36" s="89" t="s">
        <v>5</v>
      </c>
      <c r="F36" s="89" t="str">
        <f t="shared" si="3"/>
        <v>Healthnet Classic Plan-1 Dubai 36-45 Male</v>
      </c>
      <c r="G36" s="19" t="str">
        <f t="shared" si="4"/>
        <v>Classic Plan-1 36-45 Male</v>
      </c>
      <c r="H36" s="36">
        <f t="shared" si="2"/>
        <v>6646</v>
      </c>
      <c r="I36" s="151">
        <v>54.6</v>
      </c>
      <c r="J36" s="36">
        <v>4807</v>
      </c>
      <c r="K36" s="36">
        <f t="shared" si="13"/>
        <v>5288</v>
      </c>
      <c r="L36" s="36">
        <v>173</v>
      </c>
      <c r="M36" s="36">
        <f t="shared" si="6"/>
        <v>5516</v>
      </c>
      <c r="N36" s="36" t="s">
        <v>384</v>
      </c>
      <c r="O36" s="17"/>
      <c r="X36" s="94" t="s">
        <v>438</v>
      </c>
      <c r="Y36" s="94" t="s">
        <v>5</v>
      </c>
      <c r="Z36" s="196"/>
      <c r="AA36" s="93">
        <f t="shared" si="11"/>
        <v>19811</v>
      </c>
      <c r="AB36" s="93">
        <f t="shared" si="12"/>
        <v>19811</v>
      </c>
      <c r="AC36" s="196"/>
    </row>
    <row r="37" spans="1:29" x14ac:dyDescent="0.3">
      <c r="A37" s="88" t="s">
        <v>128</v>
      </c>
      <c r="B37" s="88" t="s">
        <v>33</v>
      </c>
      <c r="C37" s="88" t="s">
        <v>454</v>
      </c>
      <c r="D37" s="90" t="s">
        <v>48</v>
      </c>
      <c r="E37" s="89" t="s">
        <v>5</v>
      </c>
      <c r="F37" s="89" t="str">
        <f t="shared" si="3"/>
        <v>Healthnet Classic Plan-1 Dubai 46-55 Male</v>
      </c>
      <c r="G37" s="19" t="str">
        <f t="shared" si="4"/>
        <v>Classic Plan-1 46-55 Male</v>
      </c>
      <c r="H37" s="36">
        <f t="shared" si="2"/>
        <v>11498</v>
      </c>
      <c r="I37" s="151">
        <v>54.6</v>
      </c>
      <c r="J37" s="36">
        <v>8468</v>
      </c>
      <c r="K37" s="36">
        <f t="shared" si="13"/>
        <v>9315</v>
      </c>
      <c r="L37" s="36">
        <v>173</v>
      </c>
      <c r="M37" s="36">
        <f t="shared" si="6"/>
        <v>9543</v>
      </c>
      <c r="N37" s="36" t="s">
        <v>384</v>
      </c>
      <c r="O37" s="17"/>
      <c r="X37" s="94" t="s">
        <v>52</v>
      </c>
      <c r="Y37" s="94" t="s">
        <v>5</v>
      </c>
      <c r="Z37" s="196"/>
      <c r="AA37" s="93">
        <f t="shared" si="11"/>
        <v>30845</v>
      </c>
      <c r="AB37" s="93">
        <f t="shared" si="12"/>
        <v>30845</v>
      </c>
      <c r="AC37" s="196"/>
    </row>
    <row r="38" spans="1:29" x14ac:dyDescent="0.3">
      <c r="A38" s="88" t="s">
        <v>128</v>
      </c>
      <c r="B38" s="88" t="s">
        <v>33</v>
      </c>
      <c r="C38" s="88" t="s">
        <v>454</v>
      </c>
      <c r="D38" s="89" t="s">
        <v>9</v>
      </c>
      <c r="E38" s="89" t="s">
        <v>5</v>
      </c>
      <c r="F38" s="89" t="str">
        <f t="shared" si="3"/>
        <v>Healthnet Classic Plan-1 Dubai 56-59 Male</v>
      </c>
      <c r="G38" s="19" t="str">
        <f t="shared" si="4"/>
        <v>Classic Plan-1 56-59 Male</v>
      </c>
      <c r="H38" s="36">
        <f t="shared" ref="H38:H69" si="14">ROUND(M38/(1-$H$4),0)</f>
        <v>14288</v>
      </c>
      <c r="I38" s="151">
        <v>54.6</v>
      </c>
      <c r="J38" s="36">
        <v>10574</v>
      </c>
      <c r="K38" s="36">
        <f t="shared" si="13"/>
        <v>11631</v>
      </c>
      <c r="L38" s="36">
        <v>173</v>
      </c>
      <c r="M38" s="36">
        <f t="shared" si="6"/>
        <v>11859</v>
      </c>
      <c r="N38" s="36" t="s">
        <v>384</v>
      </c>
      <c r="O38" s="17"/>
      <c r="X38" s="94" t="s">
        <v>45</v>
      </c>
      <c r="Y38" s="94" t="s">
        <v>7</v>
      </c>
      <c r="Z38" s="196"/>
      <c r="AA38" s="93">
        <f t="shared" si="11"/>
        <v>5081</v>
      </c>
      <c r="AB38" s="93">
        <f t="shared" si="12"/>
        <v>5081</v>
      </c>
      <c r="AC38" s="196"/>
    </row>
    <row r="39" spans="1:29" x14ac:dyDescent="0.3">
      <c r="A39" s="88" t="s">
        <v>128</v>
      </c>
      <c r="B39" s="88" t="s">
        <v>33</v>
      </c>
      <c r="C39" s="88" t="s">
        <v>454</v>
      </c>
      <c r="D39" s="90" t="s">
        <v>49</v>
      </c>
      <c r="E39" s="89" t="s">
        <v>5</v>
      </c>
      <c r="F39" s="89" t="str">
        <f t="shared" si="3"/>
        <v>Healthnet Classic Plan-1 Dubai 60-65 Male</v>
      </c>
      <c r="G39" s="19" t="str">
        <f t="shared" si="4"/>
        <v>Classic Plan-1 60-65 Male</v>
      </c>
      <c r="H39" s="36">
        <f t="shared" si="14"/>
        <v>20618</v>
      </c>
      <c r="I39" s="151">
        <v>54.6</v>
      </c>
      <c r="J39" s="36">
        <v>15350</v>
      </c>
      <c r="K39" s="36">
        <f t="shared" si="13"/>
        <v>16885</v>
      </c>
      <c r="L39" s="36">
        <v>173</v>
      </c>
      <c r="M39" s="36">
        <f t="shared" si="6"/>
        <v>17113</v>
      </c>
      <c r="N39" s="36" t="s">
        <v>384</v>
      </c>
      <c r="O39" s="17"/>
      <c r="X39" s="94" t="s">
        <v>46</v>
      </c>
      <c r="Y39" s="94" t="s">
        <v>7</v>
      </c>
      <c r="Z39" s="196"/>
      <c r="AA39" s="93">
        <f t="shared" si="11"/>
        <v>8202</v>
      </c>
      <c r="AB39" s="93">
        <f t="shared" si="12"/>
        <v>8202</v>
      </c>
      <c r="AC39" s="196"/>
    </row>
    <row r="40" spans="1:29" x14ac:dyDescent="0.3">
      <c r="A40" s="88" t="s">
        <v>128</v>
      </c>
      <c r="B40" s="88" t="s">
        <v>33</v>
      </c>
      <c r="C40" s="88" t="s">
        <v>454</v>
      </c>
      <c r="D40" s="89" t="s">
        <v>437</v>
      </c>
      <c r="E40" s="89" t="s">
        <v>5</v>
      </c>
      <c r="F40" s="89" t="str">
        <f t="shared" si="3"/>
        <v>Healthnet Classic Plan-1 Dubai 66-70 Male</v>
      </c>
      <c r="G40" s="19" t="str">
        <f t="shared" si="4"/>
        <v>Classic Plan-1 66-70 Male</v>
      </c>
      <c r="H40" s="36">
        <f t="shared" si="14"/>
        <v>32219</v>
      </c>
      <c r="I40" s="151">
        <v>54.6</v>
      </c>
      <c r="J40" s="36">
        <v>24104</v>
      </c>
      <c r="K40" s="36">
        <f t="shared" si="13"/>
        <v>26514</v>
      </c>
      <c r="L40" s="36">
        <v>173</v>
      </c>
      <c r="M40" s="36">
        <f t="shared" si="6"/>
        <v>26742</v>
      </c>
      <c r="N40" s="36" t="s">
        <v>384</v>
      </c>
      <c r="O40" s="17"/>
      <c r="X40" s="94" t="s">
        <v>47</v>
      </c>
      <c r="Y40" s="94" t="s">
        <v>7</v>
      </c>
      <c r="Z40" s="196"/>
      <c r="AA40" s="93">
        <f t="shared" si="11"/>
        <v>9223</v>
      </c>
      <c r="AB40" s="93">
        <f t="shared" si="12"/>
        <v>9223</v>
      </c>
      <c r="AC40" s="196"/>
    </row>
    <row r="41" spans="1:29" x14ac:dyDescent="0.3">
      <c r="A41" s="88" t="s">
        <v>128</v>
      </c>
      <c r="B41" s="88" t="s">
        <v>33</v>
      </c>
      <c r="C41" s="88" t="s">
        <v>454</v>
      </c>
      <c r="D41" s="89" t="s">
        <v>45</v>
      </c>
      <c r="E41" s="89" t="s">
        <v>7</v>
      </c>
      <c r="F41" s="89" t="str">
        <f t="shared" si="3"/>
        <v>Healthnet Classic Plan-1 Dubai 00-17 Female</v>
      </c>
      <c r="G41" s="19" t="str">
        <f t="shared" si="4"/>
        <v>Classic Plan-1 00-17 Female</v>
      </c>
      <c r="H41" s="36">
        <f t="shared" si="14"/>
        <v>5547</v>
      </c>
      <c r="I41" s="151">
        <v>54.6</v>
      </c>
      <c r="J41" s="36">
        <v>3647</v>
      </c>
      <c r="K41" s="36">
        <f t="shared" ref="K41:K47" si="15">J41+(J41*20%)</f>
        <v>4376</v>
      </c>
      <c r="L41" s="36">
        <v>173</v>
      </c>
      <c r="M41" s="36">
        <f t="shared" si="6"/>
        <v>4604</v>
      </c>
      <c r="N41" s="36" t="s">
        <v>384</v>
      </c>
      <c r="O41" s="17"/>
      <c r="X41" s="94" t="s">
        <v>48</v>
      </c>
      <c r="Y41" s="94" t="s">
        <v>7</v>
      </c>
      <c r="Z41" s="196"/>
      <c r="AA41" s="93">
        <f t="shared" si="11"/>
        <v>12683</v>
      </c>
      <c r="AB41" s="93">
        <f t="shared" si="12"/>
        <v>12683</v>
      </c>
      <c r="AC41" s="196"/>
    </row>
    <row r="42" spans="1:29" x14ac:dyDescent="0.3">
      <c r="A42" s="88" t="s">
        <v>128</v>
      </c>
      <c r="B42" s="88" t="s">
        <v>33</v>
      </c>
      <c r="C42" s="88" t="s">
        <v>454</v>
      </c>
      <c r="D42" s="90" t="s">
        <v>46</v>
      </c>
      <c r="E42" s="89" t="s">
        <v>7</v>
      </c>
      <c r="F42" s="89" t="str">
        <f t="shared" si="3"/>
        <v>Healthnet Classic Plan-1 Dubai 18-35 Female</v>
      </c>
      <c r="G42" s="19" t="str">
        <f t="shared" si="4"/>
        <v>Classic Plan-1 18-35 Female</v>
      </c>
      <c r="H42" s="36">
        <f t="shared" si="14"/>
        <v>6402</v>
      </c>
      <c r="I42" s="151">
        <v>54.6</v>
      </c>
      <c r="J42" s="36">
        <v>4238</v>
      </c>
      <c r="K42" s="36">
        <f t="shared" si="15"/>
        <v>5086</v>
      </c>
      <c r="L42" s="36">
        <v>173</v>
      </c>
      <c r="M42" s="36">
        <f t="shared" si="6"/>
        <v>5314</v>
      </c>
      <c r="N42" s="36" t="s">
        <v>384</v>
      </c>
      <c r="O42" s="17"/>
      <c r="X42" s="94" t="s">
        <v>9</v>
      </c>
      <c r="Y42" s="94" t="s">
        <v>7</v>
      </c>
      <c r="Z42" s="196"/>
      <c r="AA42" s="93">
        <f t="shared" si="11"/>
        <v>15865</v>
      </c>
      <c r="AB42" s="93">
        <f t="shared" si="12"/>
        <v>15865</v>
      </c>
      <c r="AC42" s="196"/>
    </row>
    <row r="43" spans="1:29" x14ac:dyDescent="0.3">
      <c r="A43" s="88" t="s">
        <v>128</v>
      </c>
      <c r="B43" s="88" t="s">
        <v>33</v>
      </c>
      <c r="C43" s="88" t="s">
        <v>454</v>
      </c>
      <c r="D43" s="89" t="s">
        <v>47</v>
      </c>
      <c r="E43" s="89" t="s">
        <v>7</v>
      </c>
      <c r="F43" s="89" t="str">
        <f t="shared" si="3"/>
        <v>Healthnet Classic Plan-1 Dubai 36-45 Female</v>
      </c>
      <c r="G43" s="19" t="str">
        <f t="shared" si="4"/>
        <v>Classic Plan-1 36-45 Female</v>
      </c>
      <c r="H43" s="36">
        <f t="shared" si="14"/>
        <v>7573</v>
      </c>
      <c r="I43" s="151">
        <v>54.6</v>
      </c>
      <c r="J43" s="36">
        <v>5048</v>
      </c>
      <c r="K43" s="36">
        <f t="shared" si="15"/>
        <v>6058</v>
      </c>
      <c r="L43" s="36">
        <v>173</v>
      </c>
      <c r="M43" s="36">
        <f t="shared" si="6"/>
        <v>6286</v>
      </c>
      <c r="N43" s="36" t="s">
        <v>384</v>
      </c>
      <c r="O43" s="17"/>
      <c r="X43" s="94" t="s">
        <v>438</v>
      </c>
      <c r="Y43" s="94" t="s">
        <v>7</v>
      </c>
      <c r="Z43" s="196"/>
      <c r="AA43" s="93">
        <f>AA57+(AA57*20%)</f>
        <v>20801</v>
      </c>
      <c r="AB43" s="93">
        <f t="shared" si="12"/>
        <v>20801</v>
      </c>
      <c r="AC43" s="196"/>
    </row>
    <row r="44" spans="1:29" x14ac:dyDescent="0.3">
      <c r="A44" s="88" t="s">
        <v>128</v>
      </c>
      <c r="B44" s="88" t="s">
        <v>33</v>
      </c>
      <c r="C44" s="88" t="s">
        <v>454</v>
      </c>
      <c r="D44" s="90" t="s">
        <v>48</v>
      </c>
      <c r="E44" s="89" t="s">
        <v>7</v>
      </c>
      <c r="F44" s="89" t="str">
        <f t="shared" si="3"/>
        <v>Healthnet Classic Plan-1 Dubai 46-55 Female</v>
      </c>
      <c r="G44" s="19" t="str">
        <f t="shared" si="4"/>
        <v>Classic Plan-1 46-55 Female</v>
      </c>
      <c r="H44" s="36">
        <f t="shared" si="14"/>
        <v>14264</v>
      </c>
      <c r="I44" s="151">
        <v>54.6</v>
      </c>
      <c r="J44" s="36">
        <v>9676</v>
      </c>
      <c r="K44" s="36">
        <f t="shared" si="15"/>
        <v>11611</v>
      </c>
      <c r="L44" s="36">
        <v>173</v>
      </c>
      <c r="M44" s="36">
        <f t="shared" si="6"/>
        <v>11839</v>
      </c>
      <c r="N44" s="36" t="s">
        <v>384</v>
      </c>
      <c r="O44" s="17"/>
      <c r="X44" s="94" t="s">
        <v>52</v>
      </c>
      <c r="Y44" s="94" t="s">
        <v>7</v>
      </c>
      <c r="Z44" s="197"/>
      <c r="AA44" s="93">
        <f t="shared" ref="AA44" si="16">AA58+(AA58*20%)</f>
        <v>32387</v>
      </c>
      <c r="AB44" s="93">
        <f t="shared" si="12"/>
        <v>32387</v>
      </c>
      <c r="AC44" s="197"/>
    </row>
    <row r="45" spans="1:29" x14ac:dyDescent="0.3">
      <c r="A45" s="88" t="s">
        <v>128</v>
      </c>
      <c r="B45" s="88" t="s">
        <v>33</v>
      </c>
      <c r="C45" s="88" t="s">
        <v>454</v>
      </c>
      <c r="D45" s="89" t="s">
        <v>9</v>
      </c>
      <c r="E45" s="89" t="s">
        <v>7</v>
      </c>
      <c r="F45" s="89" t="str">
        <f t="shared" si="3"/>
        <v>Healthnet Classic Plan-1 Dubai 56-59 Female</v>
      </c>
      <c r="G45" s="19" t="str">
        <f t="shared" si="4"/>
        <v>Classic Plan-1 56-59 Female</v>
      </c>
      <c r="H45" s="36">
        <f t="shared" si="14"/>
        <v>17914</v>
      </c>
      <c r="I45" s="151">
        <v>54.6</v>
      </c>
      <c r="J45" s="36">
        <v>12201</v>
      </c>
      <c r="K45" s="36">
        <f t="shared" si="15"/>
        <v>14641</v>
      </c>
      <c r="L45" s="36">
        <v>173</v>
      </c>
      <c r="M45" s="36">
        <f t="shared" si="6"/>
        <v>14869</v>
      </c>
      <c r="N45" s="36" t="s">
        <v>384</v>
      </c>
      <c r="O45" s="17"/>
      <c r="X45" s="94" t="s">
        <v>45</v>
      </c>
      <c r="Y45" s="94" t="s">
        <v>5</v>
      </c>
      <c r="Z45" s="195" t="s">
        <v>383</v>
      </c>
      <c r="AA45" s="95">
        <v>4033</v>
      </c>
      <c r="AB45" s="95">
        <f>AA45+(AA45*$AC$48)</f>
        <v>4033</v>
      </c>
      <c r="AC45" s="198">
        <v>0.12</v>
      </c>
    </row>
    <row r="46" spans="1:29" x14ac:dyDescent="0.3">
      <c r="A46" s="88" t="s">
        <v>128</v>
      </c>
      <c r="B46" s="88" t="s">
        <v>33</v>
      </c>
      <c r="C46" s="88" t="s">
        <v>454</v>
      </c>
      <c r="D46" s="90" t="s">
        <v>49</v>
      </c>
      <c r="E46" s="89" t="s">
        <v>7</v>
      </c>
      <c r="F46" s="89" t="str">
        <f t="shared" si="3"/>
        <v>Healthnet Classic Plan-1 Dubai 60-65 Female</v>
      </c>
      <c r="G46" s="19" t="str">
        <f t="shared" si="4"/>
        <v>Classic Plan-1 60-65 Female</v>
      </c>
      <c r="H46" s="36">
        <f t="shared" si="14"/>
        <v>23578</v>
      </c>
      <c r="I46" s="151">
        <v>54.6</v>
      </c>
      <c r="J46" s="36">
        <v>16118</v>
      </c>
      <c r="K46" s="36">
        <f t="shared" si="15"/>
        <v>19342</v>
      </c>
      <c r="L46" s="36">
        <v>173</v>
      </c>
      <c r="M46" s="36">
        <f t="shared" si="6"/>
        <v>19570</v>
      </c>
      <c r="N46" s="36" t="s">
        <v>384</v>
      </c>
      <c r="O46" s="17"/>
      <c r="X46" s="94" t="s">
        <v>46</v>
      </c>
      <c r="Y46" s="94" t="s">
        <v>5</v>
      </c>
      <c r="Z46" s="196"/>
      <c r="AA46" s="95">
        <v>4624</v>
      </c>
      <c r="AB46" s="95">
        <f t="shared" ref="AB46:AB58" si="17">AA46+(AA46*$AC$48)</f>
        <v>4624</v>
      </c>
      <c r="AC46" s="196"/>
    </row>
    <row r="47" spans="1:29" x14ac:dyDescent="0.3">
      <c r="A47" s="88" t="s">
        <v>128</v>
      </c>
      <c r="B47" s="88" t="s">
        <v>33</v>
      </c>
      <c r="C47" s="88" t="s">
        <v>454</v>
      </c>
      <c r="D47" s="89" t="s">
        <v>437</v>
      </c>
      <c r="E47" s="89" t="s">
        <v>7</v>
      </c>
      <c r="F47" s="89" t="str">
        <f t="shared" si="3"/>
        <v>Healthnet Classic Plan-1 Dubai 66-70 Female</v>
      </c>
      <c r="G47" s="19" t="str">
        <f t="shared" si="4"/>
        <v>Classic Plan-1 66-70 Female</v>
      </c>
      <c r="H47" s="36">
        <f t="shared" si="14"/>
        <v>36866</v>
      </c>
      <c r="I47" s="151">
        <v>54.6</v>
      </c>
      <c r="J47" s="36">
        <v>25309</v>
      </c>
      <c r="K47" s="36">
        <f t="shared" si="15"/>
        <v>30371</v>
      </c>
      <c r="L47" s="36">
        <v>173</v>
      </c>
      <c r="M47" s="36">
        <f t="shared" si="6"/>
        <v>30599</v>
      </c>
      <c r="N47" s="36" t="s">
        <v>384</v>
      </c>
      <c r="O47" s="17"/>
      <c r="X47" s="94" t="s">
        <v>47</v>
      </c>
      <c r="Y47" s="94" t="s">
        <v>5</v>
      </c>
      <c r="Z47" s="196"/>
      <c r="AA47" s="95">
        <v>5434</v>
      </c>
      <c r="AB47" s="95">
        <f t="shared" si="17"/>
        <v>5434</v>
      </c>
      <c r="AC47" s="196"/>
    </row>
    <row r="48" spans="1:29" x14ac:dyDescent="0.3">
      <c r="A48" s="88" t="s">
        <v>128</v>
      </c>
      <c r="B48" s="88" t="s">
        <v>33</v>
      </c>
      <c r="C48" s="88" t="s">
        <v>455</v>
      </c>
      <c r="D48" s="89" t="s">
        <v>45</v>
      </c>
      <c r="E48" s="89" t="s">
        <v>5</v>
      </c>
      <c r="F48" s="89" t="str">
        <f t="shared" si="3"/>
        <v>Healthnet Classic Plan-2 Dubai 00-17 Male</v>
      </c>
      <c r="G48" s="19" t="str">
        <f t="shared" si="4"/>
        <v>Classic Plan-2 00-17 Male</v>
      </c>
      <c r="H48" s="36">
        <f t="shared" si="14"/>
        <v>4229</v>
      </c>
      <c r="I48" s="151">
        <v>54.6</v>
      </c>
      <c r="J48" s="36">
        <v>3060</v>
      </c>
      <c r="K48" s="36">
        <f t="shared" ref="K48:K54" si="18">J48+(J48*10%)</f>
        <v>3366</v>
      </c>
      <c r="L48" s="36">
        <v>89</v>
      </c>
      <c r="M48" s="36">
        <f t="shared" si="6"/>
        <v>3510</v>
      </c>
      <c r="N48" s="36" t="s">
        <v>385</v>
      </c>
      <c r="O48" s="17"/>
      <c r="X48" s="94" t="s">
        <v>48</v>
      </c>
      <c r="Y48" s="94" t="s">
        <v>5</v>
      </c>
      <c r="Z48" s="196"/>
      <c r="AA48" s="95">
        <v>9280</v>
      </c>
      <c r="AB48" s="95">
        <f t="shared" si="17"/>
        <v>9280</v>
      </c>
      <c r="AC48" s="196"/>
    </row>
    <row r="49" spans="1:29" x14ac:dyDescent="0.3">
      <c r="A49" s="88" t="s">
        <v>128</v>
      </c>
      <c r="B49" s="88" t="s">
        <v>33</v>
      </c>
      <c r="C49" s="88" t="s">
        <v>455</v>
      </c>
      <c r="D49" s="90" t="s">
        <v>46</v>
      </c>
      <c r="E49" s="89" t="s">
        <v>5</v>
      </c>
      <c r="F49" s="89" t="str">
        <f t="shared" si="3"/>
        <v>Healthnet Classic Plan-2 Dubai 18-35 Male</v>
      </c>
      <c r="G49" s="19" t="str">
        <f t="shared" si="4"/>
        <v>Classic Plan-2 18-35 Male</v>
      </c>
      <c r="H49" s="36">
        <f t="shared" si="14"/>
        <v>4439</v>
      </c>
      <c r="I49" s="151">
        <v>54.6</v>
      </c>
      <c r="J49" s="36">
        <v>3218</v>
      </c>
      <c r="K49" s="36">
        <f t="shared" si="18"/>
        <v>3540</v>
      </c>
      <c r="L49" s="36">
        <v>89</v>
      </c>
      <c r="M49" s="36">
        <f t="shared" si="6"/>
        <v>3684</v>
      </c>
      <c r="N49" s="36" t="s">
        <v>385</v>
      </c>
      <c r="O49" s="17"/>
      <c r="X49" s="94" t="s">
        <v>9</v>
      </c>
      <c r="Y49" s="94" t="s">
        <v>5</v>
      </c>
      <c r="Z49" s="196"/>
      <c r="AA49" s="95">
        <v>11492</v>
      </c>
      <c r="AB49" s="95">
        <f t="shared" si="17"/>
        <v>11492</v>
      </c>
      <c r="AC49" s="196"/>
    </row>
    <row r="50" spans="1:29" x14ac:dyDescent="0.3">
      <c r="A50" s="88" t="s">
        <v>128</v>
      </c>
      <c r="B50" s="88" t="s">
        <v>33</v>
      </c>
      <c r="C50" s="88" t="s">
        <v>455</v>
      </c>
      <c r="D50" s="89" t="s">
        <v>47</v>
      </c>
      <c r="E50" s="89" t="s">
        <v>5</v>
      </c>
      <c r="F50" s="89" t="str">
        <f t="shared" si="3"/>
        <v>Healthnet Classic Plan-2 Dubai 36-45 Male</v>
      </c>
      <c r="G50" s="19" t="str">
        <f t="shared" si="4"/>
        <v>Classic Plan-2 36-45 Male</v>
      </c>
      <c r="H50" s="36">
        <f t="shared" si="14"/>
        <v>5318</v>
      </c>
      <c r="I50" s="151">
        <v>54.6</v>
      </c>
      <c r="J50" s="36">
        <v>3882</v>
      </c>
      <c r="K50" s="36">
        <f t="shared" si="18"/>
        <v>4270</v>
      </c>
      <c r="L50" s="36">
        <v>89</v>
      </c>
      <c r="M50" s="36">
        <f t="shared" si="6"/>
        <v>4414</v>
      </c>
      <c r="N50" s="36" t="s">
        <v>385</v>
      </c>
      <c r="O50" s="17"/>
      <c r="X50" s="94" t="s">
        <v>438</v>
      </c>
      <c r="Y50" s="94" t="s">
        <v>5</v>
      </c>
      <c r="Z50" s="196"/>
      <c r="AA50" s="95">
        <v>16509</v>
      </c>
      <c r="AB50" s="95">
        <f t="shared" si="17"/>
        <v>16509</v>
      </c>
      <c r="AC50" s="196"/>
    </row>
    <row r="51" spans="1:29" x14ac:dyDescent="0.3">
      <c r="A51" s="88" t="s">
        <v>128</v>
      </c>
      <c r="B51" s="88" t="s">
        <v>33</v>
      </c>
      <c r="C51" s="88" t="s">
        <v>455</v>
      </c>
      <c r="D51" s="90" t="s">
        <v>48</v>
      </c>
      <c r="E51" s="89" t="s">
        <v>5</v>
      </c>
      <c r="F51" s="89" t="str">
        <f t="shared" si="3"/>
        <v>Healthnet Classic Plan-2 Dubai 46-55 Male</v>
      </c>
      <c r="G51" s="19" t="str">
        <f t="shared" si="4"/>
        <v>Classic Plan-2 46-55 Male</v>
      </c>
      <c r="H51" s="36">
        <f t="shared" si="14"/>
        <v>8461</v>
      </c>
      <c r="I51" s="151">
        <v>54.6</v>
      </c>
      <c r="J51" s="36">
        <v>6254</v>
      </c>
      <c r="K51" s="36">
        <f t="shared" si="18"/>
        <v>6879</v>
      </c>
      <c r="L51" s="36">
        <v>89</v>
      </c>
      <c r="M51" s="36">
        <f t="shared" si="6"/>
        <v>7023</v>
      </c>
      <c r="N51" s="36" t="s">
        <v>385</v>
      </c>
      <c r="O51" s="17"/>
      <c r="X51" s="94" t="s">
        <v>52</v>
      </c>
      <c r="Y51" s="94" t="s">
        <v>5</v>
      </c>
      <c r="Z51" s="196"/>
      <c r="AA51" s="95">
        <v>25704</v>
      </c>
      <c r="AB51" s="95">
        <f t="shared" si="17"/>
        <v>25704</v>
      </c>
      <c r="AC51" s="196"/>
    </row>
    <row r="52" spans="1:29" x14ac:dyDescent="0.3">
      <c r="A52" s="88" t="s">
        <v>128</v>
      </c>
      <c r="B52" s="88" t="s">
        <v>33</v>
      </c>
      <c r="C52" s="88" t="s">
        <v>455</v>
      </c>
      <c r="D52" s="89" t="s">
        <v>9</v>
      </c>
      <c r="E52" s="89" t="s">
        <v>5</v>
      </c>
      <c r="F52" s="89" t="str">
        <f t="shared" si="3"/>
        <v>Healthnet Classic Plan-2 Dubai 56-59 Male</v>
      </c>
      <c r="G52" s="19" t="str">
        <f t="shared" si="4"/>
        <v>Classic Plan-2 56-59 Male</v>
      </c>
      <c r="H52" s="36">
        <f t="shared" si="14"/>
        <v>13033</v>
      </c>
      <c r="I52" s="151">
        <v>54.6</v>
      </c>
      <c r="J52" s="36">
        <v>9703</v>
      </c>
      <c r="K52" s="36">
        <f t="shared" si="18"/>
        <v>10673</v>
      </c>
      <c r="L52" s="36">
        <v>89</v>
      </c>
      <c r="M52" s="36">
        <f t="shared" si="6"/>
        <v>10817</v>
      </c>
      <c r="N52" s="36" t="s">
        <v>385</v>
      </c>
      <c r="O52" s="17"/>
      <c r="X52" s="94" t="s">
        <v>45</v>
      </c>
      <c r="Y52" s="94" t="s">
        <v>7</v>
      </c>
      <c r="Z52" s="196"/>
      <c r="AA52" s="95">
        <v>4234</v>
      </c>
      <c r="AB52" s="95">
        <f t="shared" si="17"/>
        <v>4234</v>
      </c>
      <c r="AC52" s="196"/>
    </row>
    <row r="53" spans="1:29" x14ac:dyDescent="0.3">
      <c r="A53" s="88" t="s">
        <v>128</v>
      </c>
      <c r="B53" s="88" t="s">
        <v>33</v>
      </c>
      <c r="C53" s="88" t="s">
        <v>455</v>
      </c>
      <c r="D53" s="90" t="s">
        <v>49</v>
      </c>
      <c r="E53" s="89" t="s">
        <v>5</v>
      </c>
      <c r="F53" s="89" t="str">
        <f t="shared" si="3"/>
        <v>Healthnet Classic Plan-2 Dubai 60-65 Male</v>
      </c>
      <c r="G53" s="19" t="str">
        <f t="shared" si="4"/>
        <v>Classic Plan-2 60-65 Male</v>
      </c>
      <c r="H53" s="36">
        <f t="shared" si="14"/>
        <v>15402</v>
      </c>
      <c r="I53" s="151">
        <v>54.6</v>
      </c>
      <c r="J53" s="36">
        <v>11491</v>
      </c>
      <c r="K53" s="36">
        <f t="shared" si="18"/>
        <v>12640</v>
      </c>
      <c r="L53" s="36">
        <v>89</v>
      </c>
      <c r="M53" s="36">
        <f t="shared" si="6"/>
        <v>12784</v>
      </c>
      <c r="N53" s="36" t="s">
        <v>385</v>
      </c>
      <c r="O53" s="17"/>
      <c r="X53" s="94" t="s">
        <v>46</v>
      </c>
      <c r="Y53" s="94" t="s">
        <v>7</v>
      </c>
      <c r="Z53" s="196"/>
      <c r="AA53" s="95">
        <v>6835</v>
      </c>
      <c r="AB53" s="95">
        <f t="shared" si="17"/>
        <v>6835</v>
      </c>
      <c r="AC53" s="196"/>
    </row>
    <row r="54" spans="1:29" x14ac:dyDescent="0.3">
      <c r="A54" s="88" t="s">
        <v>128</v>
      </c>
      <c r="B54" s="88" t="s">
        <v>33</v>
      </c>
      <c r="C54" s="88" t="s">
        <v>455</v>
      </c>
      <c r="D54" s="89" t="s">
        <v>437</v>
      </c>
      <c r="E54" s="89" t="s">
        <v>5</v>
      </c>
      <c r="F54" s="89" t="str">
        <f t="shared" si="3"/>
        <v>Healthnet Classic Plan-2 Dubai 66-70 Male</v>
      </c>
      <c r="G54" s="19" t="str">
        <f t="shared" si="4"/>
        <v>Classic Plan-2 66-70 Male</v>
      </c>
      <c r="H54" s="36">
        <f t="shared" si="14"/>
        <v>18481</v>
      </c>
      <c r="I54" s="151">
        <v>54.6</v>
      </c>
      <c r="J54" s="36">
        <v>13814</v>
      </c>
      <c r="K54" s="36">
        <f t="shared" si="18"/>
        <v>15195</v>
      </c>
      <c r="L54" s="36">
        <v>89</v>
      </c>
      <c r="M54" s="36">
        <f t="shared" si="6"/>
        <v>15339</v>
      </c>
      <c r="N54" s="36" t="s">
        <v>385</v>
      </c>
      <c r="O54" s="17"/>
      <c r="X54" s="94" t="s">
        <v>47</v>
      </c>
      <c r="Y54" s="94" t="s">
        <v>7</v>
      </c>
      <c r="Z54" s="196"/>
      <c r="AA54" s="95">
        <v>7686</v>
      </c>
      <c r="AB54" s="95">
        <f t="shared" si="17"/>
        <v>7686</v>
      </c>
      <c r="AC54" s="196"/>
    </row>
    <row r="55" spans="1:29" x14ac:dyDescent="0.3">
      <c r="A55" s="88" t="s">
        <v>128</v>
      </c>
      <c r="B55" s="88" t="s">
        <v>33</v>
      </c>
      <c r="C55" s="88" t="s">
        <v>455</v>
      </c>
      <c r="D55" s="89" t="s">
        <v>45</v>
      </c>
      <c r="E55" s="89" t="s">
        <v>7</v>
      </c>
      <c r="F55" s="89" t="str">
        <f t="shared" si="3"/>
        <v>Healthnet Classic Plan-2 Dubai 00-17 Female</v>
      </c>
      <c r="G55" s="19" t="str">
        <f t="shared" si="4"/>
        <v>Classic Plan-2 00-17 Female</v>
      </c>
      <c r="H55" s="36">
        <f t="shared" si="14"/>
        <v>5128</v>
      </c>
      <c r="I55" s="151">
        <v>54.6</v>
      </c>
      <c r="J55" s="36">
        <v>3427</v>
      </c>
      <c r="K55" s="36">
        <f t="shared" ref="K55:K61" si="19">J55+(J55*20%)</f>
        <v>4112</v>
      </c>
      <c r="L55" s="36">
        <v>89</v>
      </c>
      <c r="M55" s="36">
        <f t="shared" si="6"/>
        <v>4256</v>
      </c>
      <c r="N55" s="36" t="s">
        <v>385</v>
      </c>
      <c r="O55" s="17"/>
      <c r="X55" s="94" t="s">
        <v>48</v>
      </c>
      <c r="Y55" s="94" t="s">
        <v>7</v>
      </c>
      <c r="Z55" s="196"/>
      <c r="AA55" s="95">
        <v>10569</v>
      </c>
      <c r="AB55" s="95">
        <f t="shared" si="17"/>
        <v>10569</v>
      </c>
      <c r="AC55" s="196"/>
    </row>
    <row r="56" spans="1:29" x14ac:dyDescent="0.3">
      <c r="A56" s="88" t="s">
        <v>128</v>
      </c>
      <c r="B56" s="88" t="s">
        <v>33</v>
      </c>
      <c r="C56" s="88" t="s">
        <v>455</v>
      </c>
      <c r="D56" s="90" t="s">
        <v>46</v>
      </c>
      <c r="E56" s="89" t="s">
        <v>7</v>
      </c>
      <c r="F56" s="89" t="str">
        <f t="shared" si="3"/>
        <v>Healthnet Classic Plan-2 Dubai 18-35 Female</v>
      </c>
      <c r="G56" s="19" t="str">
        <f t="shared" si="4"/>
        <v>Classic Plan-2 18-35 Female</v>
      </c>
      <c r="H56" s="36">
        <f t="shared" si="14"/>
        <v>5384</v>
      </c>
      <c r="I56" s="151">
        <v>54.6</v>
      </c>
      <c r="J56" s="36">
        <v>3604</v>
      </c>
      <c r="K56" s="36">
        <f t="shared" si="19"/>
        <v>4325</v>
      </c>
      <c r="L56" s="36">
        <v>89</v>
      </c>
      <c r="M56" s="36">
        <f t="shared" si="6"/>
        <v>4469</v>
      </c>
      <c r="N56" s="36" t="s">
        <v>385</v>
      </c>
      <c r="O56" s="17"/>
      <c r="X56" s="94" t="s">
        <v>9</v>
      </c>
      <c r="Y56" s="94" t="s">
        <v>7</v>
      </c>
      <c r="Z56" s="196"/>
      <c r="AA56" s="95">
        <v>13221</v>
      </c>
      <c r="AB56" s="95">
        <f t="shared" si="17"/>
        <v>13221</v>
      </c>
      <c r="AC56" s="196"/>
    </row>
    <row r="57" spans="1:29" x14ac:dyDescent="0.3">
      <c r="A57" s="88" t="s">
        <v>128</v>
      </c>
      <c r="B57" s="88" t="s">
        <v>33</v>
      </c>
      <c r="C57" s="88" t="s">
        <v>455</v>
      </c>
      <c r="D57" s="89" t="s">
        <v>47</v>
      </c>
      <c r="E57" s="89" t="s">
        <v>7</v>
      </c>
      <c r="F57" s="89" t="str">
        <f t="shared" si="3"/>
        <v>Healthnet Classic Plan-2 Dubai 36-45 Female</v>
      </c>
      <c r="G57" s="19" t="str">
        <f t="shared" si="4"/>
        <v>Classic Plan-2 36-45 Female</v>
      </c>
      <c r="H57" s="36">
        <f t="shared" si="14"/>
        <v>6460</v>
      </c>
      <c r="I57" s="151">
        <v>54.6</v>
      </c>
      <c r="J57" s="36">
        <v>4348</v>
      </c>
      <c r="K57" s="36">
        <f t="shared" si="19"/>
        <v>5218</v>
      </c>
      <c r="L57" s="36">
        <v>89</v>
      </c>
      <c r="M57" s="36">
        <f t="shared" si="6"/>
        <v>5362</v>
      </c>
      <c r="N57" s="36" t="s">
        <v>385</v>
      </c>
      <c r="O57" s="17"/>
      <c r="X57" s="94" t="s">
        <v>438</v>
      </c>
      <c r="Y57" s="94" t="s">
        <v>7</v>
      </c>
      <c r="Z57" s="196"/>
      <c r="AA57" s="95">
        <v>17334</v>
      </c>
      <c r="AB57" s="95">
        <f t="shared" si="17"/>
        <v>17334</v>
      </c>
      <c r="AC57" s="196"/>
    </row>
    <row r="58" spans="1:29" x14ac:dyDescent="0.3">
      <c r="A58" s="88" t="s">
        <v>128</v>
      </c>
      <c r="B58" s="88" t="s">
        <v>33</v>
      </c>
      <c r="C58" s="88" t="s">
        <v>455</v>
      </c>
      <c r="D58" s="90" t="s">
        <v>48</v>
      </c>
      <c r="E58" s="89" t="s">
        <v>7</v>
      </c>
      <c r="F58" s="89" t="str">
        <f t="shared" si="3"/>
        <v>Healthnet Classic Plan-2 Dubai 46-55 Female</v>
      </c>
      <c r="G58" s="19" t="str">
        <f t="shared" si="4"/>
        <v>Classic Plan-2 46-55 Female</v>
      </c>
      <c r="H58" s="36">
        <f t="shared" si="14"/>
        <v>10835</v>
      </c>
      <c r="I58" s="151">
        <v>54.6</v>
      </c>
      <c r="J58" s="36">
        <v>7374</v>
      </c>
      <c r="K58" s="36">
        <f t="shared" si="19"/>
        <v>8849</v>
      </c>
      <c r="L58" s="36">
        <v>89</v>
      </c>
      <c r="M58" s="36">
        <f t="shared" si="6"/>
        <v>8993</v>
      </c>
      <c r="N58" s="36" t="s">
        <v>385</v>
      </c>
      <c r="O58" s="17"/>
      <c r="X58" s="94" t="s">
        <v>52</v>
      </c>
      <c r="Y58" s="94" t="s">
        <v>7</v>
      </c>
      <c r="Z58" s="197"/>
      <c r="AA58" s="95">
        <v>26989</v>
      </c>
      <c r="AB58" s="95">
        <f t="shared" si="17"/>
        <v>26989</v>
      </c>
      <c r="AC58" s="197"/>
    </row>
    <row r="59" spans="1:29" x14ac:dyDescent="0.3">
      <c r="A59" s="88" t="s">
        <v>128</v>
      </c>
      <c r="B59" s="88" t="s">
        <v>33</v>
      </c>
      <c r="C59" s="88" t="s">
        <v>455</v>
      </c>
      <c r="D59" s="89" t="s">
        <v>9</v>
      </c>
      <c r="E59" s="89" t="s">
        <v>7</v>
      </c>
      <c r="F59" s="89" t="str">
        <f t="shared" si="3"/>
        <v>Healthnet Classic Plan-2 Dubai 56-59 Female</v>
      </c>
      <c r="G59" s="19" t="str">
        <f t="shared" si="4"/>
        <v>Classic Plan-2 56-59 Female</v>
      </c>
      <c r="H59" s="36">
        <f t="shared" si="14"/>
        <v>15883</v>
      </c>
      <c r="I59" s="151">
        <v>54.6</v>
      </c>
      <c r="J59" s="36">
        <v>10866</v>
      </c>
      <c r="K59" s="36">
        <f t="shared" si="19"/>
        <v>13039</v>
      </c>
      <c r="L59" s="36">
        <v>89</v>
      </c>
      <c r="M59" s="36">
        <f t="shared" si="6"/>
        <v>13183</v>
      </c>
      <c r="N59" s="36" t="s">
        <v>385</v>
      </c>
      <c r="O59" s="17"/>
      <c r="X59" s="94" t="s">
        <v>45</v>
      </c>
      <c r="Y59" s="94" t="s">
        <v>5</v>
      </c>
      <c r="Z59" s="195" t="s">
        <v>384</v>
      </c>
      <c r="AA59" s="95">
        <v>3428</v>
      </c>
      <c r="AB59" s="95">
        <f t="shared" ref="AB59:AB72" si="20">AA59+(AA59*$AC$62)</f>
        <v>3428</v>
      </c>
      <c r="AC59" s="198">
        <v>0.12</v>
      </c>
    </row>
    <row r="60" spans="1:29" x14ac:dyDescent="0.3">
      <c r="A60" s="88" t="s">
        <v>128</v>
      </c>
      <c r="B60" s="88" t="s">
        <v>33</v>
      </c>
      <c r="C60" s="88" t="s">
        <v>455</v>
      </c>
      <c r="D60" s="90" t="s">
        <v>49</v>
      </c>
      <c r="E60" s="89" t="s">
        <v>7</v>
      </c>
      <c r="F60" s="89" t="str">
        <f t="shared" si="3"/>
        <v>Healthnet Classic Plan-2 Dubai 60-65 Female</v>
      </c>
      <c r="G60" s="19" t="str">
        <f t="shared" si="4"/>
        <v>Classic Plan-2 60-65 Female</v>
      </c>
      <c r="H60" s="36">
        <f t="shared" si="14"/>
        <v>16787</v>
      </c>
      <c r="I60" s="151">
        <v>54.6</v>
      </c>
      <c r="J60" s="36">
        <v>11491</v>
      </c>
      <c r="K60" s="36">
        <f t="shared" si="19"/>
        <v>13789</v>
      </c>
      <c r="L60" s="36">
        <v>89</v>
      </c>
      <c r="M60" s="36">
        <f t="shared" si="6"/>
        <v>13933</v>
      </c>
      <c r="N60" s="36" t="s">
        <v>385</v>
      </c>
      <c r="O60" s="17"/>
      <c r="X60" s="94" t="s">
        <v>46</v>
      </c>
      <c r="Y60" s="94" t="s">
        <v>5</v>
      </c>
      <c r="Z60" s="196"/>
      <c r="AA60" s="95">
        <v>3930</v>
      </c>
      <c r="AB60" s="95">
        <f t="shared" si="20"/>
        <v>3930</v>
      </c>
      <c r="AC60" s="196"/>
    </row>
    <row r="61" spans="1:29" x14ac:dyDescent="0.3">
      <c r="A61" s="88" t="s">
        <v>128</v>
      </c>
      <c r="B61" s="88" t="s">
        <v>33</v>
      </c>
      <c r="C61" s="88" t="s">
        <v>455</v>
      </c>
      <c r="D61" s="89" t="s">
        <v>437</v>
      </c>
      <c r="E61" s="89" t="s">
        <v>7</v>
      </c>
      <c r="F61" s="89" t="str">
        <f t="shared" si="3"/>
        <v>Healthnet Classic Plan-2 Dubai 66-70 Female</v>
      </c>
      <c r="G61" s="19" t="str">
        <f t="shared" si="4"/>
        <v>Classic Plan-2 66-70 Female</v>
      </c>
      <c r="H61" s="36">
        <f t="shared" si="14"/>
        <v>20146</v>
      </c>
      <c r="I61" s="151">
        <v>54.6</v>
      </c>
      <c r="J61" s="36">
        <v>13814</v>
      </c>
      <c r="K61" s="36">
        <f t="shared" si="19"/>
        <v>16577</v>
      </c>
      <c r="L61" s="36">
        <v>89</v>
      </c>
      <c r="M61" s="36">
        <f t="shared" si="6"/>
        <v>16721</v>
      </c>
      <c r="N61" s="36" t="s">
        <v>385</v>
      </c>
      <c r="O61" s="17"/>
      <c r="X61" s="94" t="s">
        <v>47</v>
      </c>
      <c r="Y61" s="94" t="s">
        <v>5</v>
      </c>
      <c r="Z61" s="196"/>
      <c r="AA61" s="95">
        <v>4619</v>
      </c>
      <c r="AB61" s="95">
        <f t="shared" si="20"/>
        <v>4619</v>
      </c>
      <c r="AC61" s="196"/>
    </row>
    <row r="62" spans="1:29" x14ac:dyDescent="0.3">
      <c r="A62" s="88" t="s">
        <v>128</v>
      </c>
      <c r="B62" s="88" t="s">
        <v>33</v>
      </c>
      <c r="C62" s="88" t="s">
        <v>456</v>
      </c>
      <c r="D62" s="89" t="s">
        <v>45</v>
      </c>
      <c r="E62" s="89" t="s">
        <v>5</v>
      </c>
      <c r="F62" s="89" t="str">
        <f t="shared" si="3"/>
        <v>Healthnet Classic Plan-3 Dubai 00-17 Male</v>
      </c>
      <c r="G62" s="19" t="str">
        <f t="shared" ref="G62:G117" si="21">CONCATENATE(C62," ",D62," ",E62)</f>
        <v>Classic Plan-3 00-17 Male</v>
      </c>
      <c r="H62" s="36">
        <f t="shared" si="14"/>
        <v>3113</v>
      </c>
      <c r="I62" s="151">
        <v>54.6</v>
      </c>
      <c r="J62" s="36">
        <v>2218</v>
      </c>
      <c r="K62" s="36">
        <f t="shared" ref="K62:K68" si="22">J62+(J62*10%)</f>
        <v>2440</v>
      </c>
      <c r="L62" s="36">
        <v>89</v>
      </c>
      <c r="M62" s="36">
        <f t="shared" si="6"/>
        <v>2584</v>
      </c>
      <c r="N62" s="36" t="s">
        <v>386</v>
      </c>
      <c r="O62" s="17"/>
      <c r="X62" s="94" t="s">
        <v>48</v>
      </c>
      <c r="Y62" s="94" t="s">
        <v>5</v>
      </c>
      <c r="Z62" s="196"/>
      <c r="AA62" s="95">
        <v>7888</v>
      </c>
      <c r="AB62" s="95">
        <f t="shared" si="20"/>
        <v>7888</v>
      </c>
      <c r="AC62" s="196"/>
    </row>
    <row r="63" spans="1:29" x14ac:dyDescent="0.3">
      <c r="A63" s="88" t="s">
        <v>128</v>
      </c>
      <c r="B63" s="88" t="s">
        <v>33</v>
      </c>
      <c r="C63" s="88" t="s">
        <v>456</v>
      </c>
      <c r="D63" s="90" t="s">
        <v>46</v>
      </c>
      <c r="E63" s="89" t="s">
        <v>5</v>
      </c>
      <c r="F63" s="89" t="str">
        <f t="shared" si="3"/>
        <v>Healthnet Classic Plan-3 Dubai 18-35 Male</v>
      </c>
      <c r="G63" s="19" t="str">
        <f t="shared" si="21"/>
        <v>Classic Plan-3 18-35 Male</v>
      </c>
      <c r="H63" s="36">
        <f t="shared" si="14"/>
        <v>3552</v>
      </c>
      <c r="I63" s="151">
        <v>54.6</v>
      </c>
      <c r="J63" s="36">
        <v>2549</v>
      </c>
      <c r="K63" s="36">
        <f t="shared" si="22"/>
        <v>2804</v>
      </c>
      <c r="L63" s="36">
        <v>89</v>
      </c>
      <c r="M63" s="36">
        <f t="shared" si="6"/>
        <v>2948</v>
      </c>
      <c r="N63" s="36" t="s">
        <v>386</v>
      </c>
      <c r="O63" s="17"/>
      <c r="X63" s="94" t="s">
        <v>9</v>
      </c>
      <c r="Y63" s="94" t="s">
        <v>5</v>
      </c>
      <c r="Z63" s="196"/>
      <c r="AA63" s="95">
        <v>9768</v>
      </c>
      <c r="AB63" s="95">
        <f t="shared" si="20"/>
        <v>9768</v>
      </c>
      <c r="AC63" s="196"/>
    </row>
    <row r="64" spans="1:29" x14ac:dyDescent="0.3">
      <c r="A64" s="88" t="s">
        <v>128</v>
      </c>
      <c r="B64" s="88" t="s">
        <v>33</v>
      </c>
      <c r="C64" s="88" t="s">
        <v>456</v>
      </c>
      <c r="D64" s="89" t="s">
        <v>47</v>
      </c>
      <c r="E64" s="89" t="s">
        <v>5</v>
      </c>
      <c r="F64" s="89" t="str">
        <f t="shared" si="3"/>
        <v>Healthnet Classic Plan-3 Dubai 36-45 Male</v>
      </c>
      <c r="G64" s="19" t="str">
        <f t="shared" si="21"/>
        <v>Classic Plan-3 36-45 Male</v>
      </c>
      <c r="H64" s="36">
        <f t="shared" si="14"/>
        <v>4090</v>
      </c>
      <c r="I64" s="151">
        <v>54.6</v>
      </c>
      <c r="J64" s="36">
        <v>2955</v>
      </c>
      <c r="K64" s="36">
        <f t="shared" si="22"/>
        <v>3251</v>
      </c>
      <c r="L64" s="36">
        <v>89</v>
      </c>
      <c r="M64" s="36">
        <f t="shared" si="6"/>
        <v>3395</v>
      </c>
      <c r="N64" s="36" t="s">
        <v>386</v>
      </c>
      <c r="O64" s="17"/>
      <c r="X64" s="94" t="s">
        <v>438</v>
      </c>
      <c r="Y64" s="94" t="s">
        <v>5</v>
      </c>
      <c r="Z64" s="196"/>
      <c r="AA64" s="95">
        <v>14033</v>
      </c>
      <c r="AB64" s="95">
        <f t="shared" si="20"/>
        <v>14033</v>
      </c>
      <c r="AC64" s="196"/>
    </row>
    <row r="65" spans="1:29" x14ac:dyDescent="0.3">
      <c r="A65" s="88" t="s">
        <v>128</v>
      </c>
      <c r="B65" s="88" t="s">
        <v>33</v>
      </c>
      <c r="C65" s="88" t="s">
        <v>456</v>
      </c>
      <c r="D65" s="90" t="s">
        <v>48</v>
      </c>
      <c r="E65" s="89" t="s">
        <v>5</v>
      </c>
      <c r="F65" s="89" t="str">
        <f t="shared" si="3"/>
        <v>Healthnet Classic Plan-3 Dubai 46-55 Male</v>
      </c>
      <c r="G65" s="19" t="str">
        <f t="shared" si="21"/>
        <v>Classic Plan-3 46-55 Male</v>
      </c>
      <c r="H65" s="36">
        <f t="shared" si="14"/>
        <v>5928</v>
      </c>
      <c r="I65" s="151">
        <v>54.6</v>
      </c>
      <c r="J65" s="36">
        <v>4342</v>
      </c>
      <c r="K65" s="36">
        <f t="shared" si="22"/>
        <v>4776</v>
      </c>
      <c r="L65" s="36">
        <v>89</v>
      </c>
      <c r="M65" s="36">
        <f t="shared" si="6"/>
        <v>4920</v>
      </c>
      <c r="N65" s="36" t="s">
        <v>386</v>
      </c>
      <c r="O65" s="17"/>
      <c r="X65" s="94" t="s">
        <v>52</v>
      </c>
      <c r="Y65" s="94" t="s">
        <v>5</v>
      </c>
      <c r="Z65" s="196"/>
      <c r="AA65" s="95">
        <v>21848</v>
      </c>
      <c r="AB65" s="95">
        <f t="shared" si="20"/>
        <v>21848</v>
      </c>
      <c r="AC65" s="196"/>
    </row>
    <row r="66" spans="1:29" x14ac:dyDescent="0.3">
      <c r="A66" s="88" t="s">
        <v>128</v>
      </c>
      <c r="B66" s="88" t="s">
        <v>33</v>
      </c>
      <c r="C66" s="88" t="s">
        <v>456</v>
      </c>
      <c r="D66" s="89" t="s">
        <v>9</v>
      </c>
      <c r="E66" s="89" t="s">
        <v>5</v>
      </c>
      <c r="F66" s="89" t="str">
        <f t="shared" si="3"/>
        <v>Healthnet Classic Plan-3 Dubai 56-59 Male</v>
      </c>
      <c r="G66" s="19" t="str">
        <f t="shared" si="21"/>
        <v>Classic Plan-3 56-59 Male</v>
      </c>
      <c r="H66" s="36">
        <f t="shared" si="14"/>
        <v>8112</v>
      </c>
      <c r="I66" s="151">
        <v>54.6</v>
      </c>
      <c r="J66" s="36">
        <v>5990</v>
      </c>
      <c r="K66" s="36">
        <f t="shared" si="22"/>
        <v>6589</v>
      </c>
      <c r="L66" s="36">
        <v>89</v>
      </c>
      <c r="M66" s="36">
        <f t="shared" si="6"/>
        <v>6733</v>
      </c>
      <c r="N66" s="36" t="s">
        <v>386</v>
      </c>
      <c r="O66" s="17"/>
      <c r="X66" s="94" t="s">
        <v>45</v>
      </c>
      <c r="Y66" s="94" t="s">
        <v>7</v>
      </c>
      <c r="Z66" s="196"/>
      <c r="AA66" s="95">
        <v>3599</v>
      </c>
      <c r="AB66" s="95">
        <f t="shared" si="20"/>
        <v>3599</v>
      </c>
      <c r="AC66" s="196"/>
    </row>
    <row r="67" spans="1:29" x14ac:dyDescent="0.3">
      <c r="A67" s="88" t="s">
        <v>128</v>
      </c>
      <c r="B67" s="88" t="s">
        <v>33</v>
      </c>
      <c r="C67" s="88" t="s">
        <v>456</v>
      </c>
      <c r="D67" s="90" t="s">
        <v>49</v>
      </c>
      <c r="E67" s="89" t="s">
        <v>5</v>
      </c>
      <c r="F67" s="89" t="str">
        <f t="shared" si="3"/>
        <v>Healthnet Classic Plan-3 Dubai 60-65 Male</v>
      </c>
      <c r="G67" s="19" t="str">
        <f t="shared" si="21"/>
        <v>Classic Plan-3 60-65 Male</v>
      </c>
      <c r="H67" s="36">
        <f t="shared" si="14"/>
        <v>11043</v>
      </c>
      <c r="I67" s="151">
        <v>54.6</v>
      </c>
      <c r="J67" s="36">
        <v>8202</v>
      </c>
      <c r="K67" s="36">
        <f t="shared" si="22"/>
        <v>9022</v>
      </c>
      <c r="L67" s="36">
        <v>89</v>
      </c>
      <c r="M67" s="36">
        <f t="shared" si="6"/>
        <v>9166</v>
      </c>
      <c r="N67" s="36" t="s">
        <v>386</v>
      </c>
      <c r="O67" s="17"/>
      <c r="X67" s="94" t="s">
        <v>46</v>
      </c>
      <c r="Y67" s="94" t="s">
        <v>7</v>
      </c>
      <c r="Z67" s="196"/>
      <c r="AA67" s="95">
        <v>5810</v>
      </c>
      <c r="AB67" s="95">
        <f t="shared" si="20"/>
        <v>5810</v>
      </c>
      <c r="AC67" s="196"/>
    </row>
    <row r="68" spans="1:29" x14ac:dyDescent="0.3">
      <c r="A68" s="88" t="s">
        <v>128</v>
      </c>
      <c r="B68" s="88" t="s">
        <v>33</v>
      </c>
      <c r="C68" s="88" t="s">
        <v>456</v>
      </c>
      <c r="D68" s="89" t="s">
        <v>437</v>
      </c>
      <c r="E68" s="89" t="s">
        <v>5</v>
      </c>
      <c r="F68" s="89" t="str">
        <f t="shared" si="3"/>
        <v>Healthnet Classic Plan-3 Dubai 66-70 Male</v>
      </c>
      <c r="G68" s="19" t="str">
        <f t="shared" si="21"/>
        <v>Classic Plan-3 66-70 Male</v>
      </c>
      <c r="H68" s="36">
        <f t="shared" si="14"/>
        <v>14575</v>
      </c>
      <c r="I68" s="151">
        <v>54.6</v>
      </c>
      <c r="J68" s="36">
        <v>10866</v>
      </c>
      <c r="K68" s="36">
        <f t="shared" si="22"/>
        <v>11953</v>
      </c>
      <c r="L68" s="36">
        <v>89</v>
      </c>
      <c r="M68" s="36">
        <f t="shared" si="6"/>
        <v>12097</v>
      </c>
      <c r="N68" s="36" t="s">
        <v>386</v>
      </c>
      <c r="O68" s="17"/>
      <c r="X68" s="94" t="s">
        <v>47</v>
      </c>
      <c r="Y68" s="94" t="s">
        <v>7</v>
      </c>
      <c r="Z68" s="196"/>
      <c r="AA68" s="95">
        <v>6533</v>
      </c>
      <c r="AB68" s="95">
        <f t="shared" si="20"/>
        <v>6533</v>
      </c>
      <c r="AC68" s="196"/>
    </row>
    <row r="69" spans="1:29" x14ac:dyDescent="0.3">
      <c r="A69" s="88" t="s">
        <v>128</v>
      </c>
      <c r="B69" s="88" t="s">
        <v>33</v>
      </c>
      <c r="C69" s="88" t="s">
        <v>456</v>
      </c>
      <c r="D69" s="89" t="s">
        <v>45</v>
      </c>
      <c r="E69" s="89" t="s">
        <v>7</v>
      </c>
      <c r="F69" s="89" t="str">
        <f t="shared" si="3"/>
        <v>Healthnet Classic Plan-3 Dubai 00-17 Female</v>
      </c>
      <c r="G69" s="19" t="str">
        <f t="shared" si="21"/>
        <v>Classic Plan-3 00-17 Female</v>
      </c>
      <c r="H69" s="36">
        <f t="shared" si="14"/>
        <v>3540</v>
      </c>
      <c r="I69" s="151">
        <v>54.6</v>
      </c>
      <c r="J69" s="36">
        <v>2328</v>
      </c>
      <c r="K69" s="36">
        <f t="shared" ref="K69:K75" si="23">J69+(J69*20%)</f>
        <v>2794</v>
      </c>
      <c r="L69" s="36">
        <v>89</v>
      </c>
      <c r="M69" s="36">
        <f t="shared" si="6"/>
        <v>2938</v>
      </c>
      <c r="N69" s="36" t="s">
        <v>386</v>
      </c>
      <c r="O69" s="17"/>
      <c r="X69" s="94" t="s">
        <v>48</v>
      </c>
      <c r="Y69" s="94" t="s">
        <v>7</v>
      </c>
      <c r="Z69" s="196"/>
      <c r="AA69" s="95">
        <v>8984</v>
      </c>
      <c r="AB69" s="95">
        <f t="shared" si="20"/>
        <v>8984</v>
      </c>
      <c r="AC69" s="196"/>
    </row>
    <row r="70" spans="1:29" x14ac:dyDescent="0.3">
      <c r="A70" s="88" t="s">
        <v>128</v>
      </c>
      <c r="B70" s="88" t="s">
        <v>33</v>
      </c>
      <c r="C70" s="88" t="s">
        <v>456</v>
      </c>
      <c r="D70" s="90" t="s">
        <v>46</v>
      </c>
      <c r="E70" s="89" t="s">
        <v>7</v>
      </c>
      <c r="F70" s="89" t="str">
        <f t="shared" ref="F70:F133" si="24">+CONCATENATE(A70," ",C70," ",B70," ",D70," ",E70)</f>
        <v>Healthnet Classic Plan-3 Dubai 18-35 Female</v>
      </c>
      <c r="G70" s="19" t="str">
        <f t="shared" si="21"/>
        <v>Classic Plan-3 18-35 Female</v>
      </c>
      <c r="H70" s="36">
        <f t="shared" ref="H70:H101" si="25">ROUND(M70/(1-$H$4),0)</f>
        <v>4042</v>
      </c>
      <c r="I70" s="151">
        <v>54.6</v>
      </c>
      <c r="J70" s="36">
        <v>2676</v>
      </c>
      <c r="K70" s="36">
        <f t="shared" si="23"/>
        <v>3211</v>
      </c>
      <c r="L70" s="36">
        <v>89</v>
      </c>
      <c r="M70" s="36">
        <f t="shared" si="6"/>
        <v>3355</v>
      </c>
      <c r="N70" s="36" t="s">
        <v>386</v>
      </c>
      <c r="O70" s="17"/>
      <c r="X70" s="94" t="s">
        <v>9</v>
      </c>
      <c r="Y70" s="94" t="s">
        <v>7</v>
      </c>
      <c r="Z70" s="196"/>
      <c r="AA70" s="95">
        <v>11238</v>
      </c>
      <c r="AB70" s="95">
        <f t="shared" si="20"/>
        <v>11238</v>
      </c>
      <c r="AC70" s="196"/>
    </row>
    <row r="71" spans="1:29" x14ac:dyDescent="0.3">
      <c r="A71" s="88" t="s">
        <v>128</v>
      </c>
      <c r="B71" s="88" t="s">
        <v>33</v>
      </c>
      <c r="C71" s="88" t="s">
        <v>456</v>
      </c>
      <c r="D71" s="89" t="s">
        <v>47</v>
      </c>
      <c r="E71" s="89" t="s">
        <v>7</v>
      </c>
      <c r="F71" s="89" t="str">
        <f t="shared" si="24"/>
        <v>Healthnet Classic Plan-3 Dubai 36-45 Female</v>
      </c>
      <c r="G71" s="19" t="str">
        <f t="shared" si="21"/>
        <v>Classic Plan-3 36-45 Female</v>
      </c>
      <c r="H71" s="36">
        <f t="shared" si="25"/>
        <v>4658</v>
      </c>
      <c r="I71" s="151">
        <v>54.6</v>
      </c>
      <c r="J71" s="36">
        <v>3102</v>
      </c>
      <c r="K71" s="36">
        <f t="shared" si="23"/>
        <v>3722</v>
      </c>
      <c r="L71" s="36">
        <v>89</v>
      </c>
      <c r="M71" s="36">
        <f t="shared" ref="M71:M134" si="26">L71+K71+I71</f>
        <v>3866</v>
      </c>
      <c r="N71" s="36" t="s">
        <v>386</v>
      </c>
      <c r="O71" s="17"/>
      <c r="X71" s="94" t="s">
        <v>438</v>
      </c>
      <c r="Y71" s="94" t="s">
        <v>7</v>
      </c>
      <c r="Z71" s="196"/>
      <c r="AA71" s="95">
        <v>14734</v>
      </c>
      <c r="AB71" s="95">
        <f t="shared" si="20"/>
        <v>14734</v>
      </c>
      <c r="AC71" s="196"/>
    </row>
    <row r="72" spans="1:29" x14ac:dyDescent="0.3">
      <c r="A72" s="88" t="s">
        <v>128</v>
      </c>
      <c r="B72" s="88" t="s">
        <v>33</v>
      </c>
      <c r="C72" s="88" t="s">
        <v>456</v>
      </c>
      <c r="D72" s="90" t="s">
        <v>48</v>
      </c>
      <c r="E72" s="89" t="s">
        <v>7</v>
      </c>
      <c r="F72" s="89" t="str">
        <f t="shared" si="24"/>
        <v>Healthnet Classic Plan-3 Dubai 46-55 Female</v>
      </c>
      <c r="G72" s="19" t="str">
        <f t="shared" si="21"/>
        <v>Classic Plan-3 46-55 Female</v>
      </c>
      <c r="H72" s="36">
        <f t="shared" si="25"/>
        <v>7781</v>
      </c>
      <c r="I72" s="151">
        <v>54.6</v>
      </c>
      <c r="J72" s="36">
        <v>5262</v>
      </c>
      <c r="K72" s="36">
        <f t="shared" si="23"/>
        <v>6314</v>
      </c>
      <c r="L72" s="36">
        <v>89</v>
      </c>
      <c r="M72" s="36">
        <f t="shared" si="26"/>
        <v>6458</v>
      </c>
      <c r="N72" s="36" t="s">
        <v>386</v>
      </c>
      <c r="O72" s="17"/>
      <c r="X72" s="94" t="s">
        <v>52</v>
      </c>
      <c r="Y72" s="94" t="s">
        <v>7</v>
      </c>
      <c r="Z72" s="197"/>
      <c r="AA72" s="95">
        <v>22941</v>
      </c>
      <c r="AB72" s="95">
        <f t="shared" si="20"/>
        <v>22941</v>
      </c>
      <c r="AC72" s="197"/>
    </row>
    <row r="73" spans="1:29" x14ac:dyDescent="0.3">
      <c r="A73" s="88" t="s">
        <v>128</v>
      </c>
      <c r="B73" s="88" t="s">
        <v>33</v>
      </c>
      <c r="C73" s="88" t="s">
        <v>456</v>
      </c>
      <c r="D73" s="89" t="s">
        <v>9</v>
      </c>
      <c r="E73" s="89" t="s">
        <v>7</v>
      </c>
      <c r="F73" s="89" t="str">
        <f t="shared" si="24"/>
        <v>Healthnet Classic Plan-3 Dubai 56-59 Female</v>
      </c>
      <c r="G73" s="19" t="str">
        <f t="shared" si="21"/>
        <v>Classic Plan-3 56-59 Female</v>
      </c>
      <c r="H73" s="36">
        <f t="shared" si="25"/>
        <v>9713</v>
      </c>
      <c r="I73" s="151">
        <v>54.6</v>
      </c>
      <c r="J73" s="36">
        <v>6598</v>
      </c>
      <c r="K73" s="36">
        <f t="shared" si="23"/>
        <v>7918</v>
      </c>
      <c r="L73" s="36">
        <v>89</v>
      </c>
      <c r="M73" s="36">
        <f t="shared" si="26"/>
        <v>8062</v>
      </c>
      <c r="N73" s="36" t="s">
        <v>386</v>
      </c>
      <c r="O73" s="17"/>
      <c r="X73" s="94" t="s">
        <v>45</v>
      </c>
      <c r="Y73" s="94" t="s">
        <v>5</v>
      </c>
      <c r="Z73" s="195" t="s">
        <v>385</v>
      </c>
      <c r="AA73" s="95">
        <v>3062</v>
      </c>
      <c r="AB73" s="95">
        <f t="shared" ref="AB73:AB86" si="27">AA73+(AA73*$AC$76)</f>
        <v>3062</v>
      </c>
      <c r="AC73" s="198">
        <v>7.0000000000000007E-2</v>
      </c>
    </row>
    <row r="74" spans="1:29" x14ac:dyDescent="0.3">
      <c r="A74" s="88" t="s">
        <v>128</v>
      </c>
      <c r="B74" s="88" t="s">
        <v>33</v>
      </c>
      <c r="C74" s="88" t="s">
        <v>456</v>
      </c>
      <c r="D74" s="90" t="s">
        <v>49</v>
      </c>
      <c r="E74" s="89" t="s">
        <v>7</v>
      </c>
      <c r="F74" s="89" t="str">
        <f t="shared" si="24"/>
        <v>Healthnet Classic Plan-3 Dubai 60-65 Female</v>
      </c>
      <c r="G74" s="19" t="str">
        <f t="shared" si="21"/>
        <v>Classic Plan-3 60-65 Female</v>
      </c>
      <c r="H74" s="36">
        <f t="shared" si="25"/>
        <v>12031</v>
      </c>
      <c r="I74" s="151">
        <v>54.6</v>
      </c>
      <c r="J74" s="36">
        <v>8202</v>
      </c>
      <c r="K74" s="36">
        <f t="shared" si="23"/>
        <v>9842</v>
      </c>
      <c r="L74" s="36">
        <v>89</v>
      </c>
      <c r="M74" s="36">
        <f t="shared" si="26"/>
        <v>9986</v>
      </c>
      <c r="N74" s="36" t="s">
        <v>386</v>
      </c>
      <c r="O74" s="17"/>
      <c r="X74" s="94" t="s">
        <v>46</v>
      </c>
      <c r="Y74" s="94" t="s">
        <v>5</v>
      </c>
      <c r="Z74" s="196"/>
      <c r="AA74" s="95">
        <v>3203</v>
      </c>
      <c r="AB74" s="95">
        <f t="shared" si="27"/>
        <v>3203</v>
      </c>
      <c r="AC74" s="196"/>
    </row>
    <row r="75" spans="1:29" x14ac:dyDescent="0.3">
      <c r="A75" s="88" t="s">
        <v>128</v>
      </c>
      <c r="B75" s="88" t="s">
        <v>33</v>
      </c>
      <c r="C75" s="88" t="s">
        <v>456</v>
      </c>
      <c r="D75" s="89" t="s">
        <v>437</v>
      </c>
      <c r="E75" s="89" t="s">
        <v>7</v>
      </c>
      <c r="F75" s="89" t="str">
        <f t="shared" si="24"/>
        <v>Healthnet Classic Plan-3 Dubai 66-70 Female</v>
      </c>
      <c r="G75" s="19" t="str">
        <f t="shared" si="21"/>
        <v>Classic Plan-3 66-70 Female</v>
      </c>
      <c r="H75" s="36">
        <f t="shared" si="25"/>
        <v>15883</v>
      </c>
      <c r="I75" s="151">
        <v>54.6</v>
      </c>
      <c r="J75" s="36">
        <v>10866</v>
      </c>
      <c r="K75" s="36">
        <f t="shared" si="23"/>
        <v>13039</v>
      </c>
      <c r="L75" s="36">
        <v>89</v>
      </c>
      <c r="M75" s="36">
        <f t="shared" si="26"/>
        <v>13183</v>
      </c>
      <c r="N75" s="36" t="s">
        <v>386</v>
      </c>
      <c r="O75" s="17"/>
      <c r="X75" s="94" t="s">
        <v>47</v>
      </c>
      <c r="Y75" s="94" t="s">
        <v>5</v>
      </c>
      <c r="Z75" s="196"/>
      <c r="AA75" s="95">
        <v>3796</v>
      </c>
      <c r="AB75" s="95">
        <f t="shared" si="27"/>
        <v>3796</v>
      </c>
      <c r="AC75" s="196"/>
    </row>
    <row r="76" spans="1:29" x14ac:dyDescent="0.3">
      <c r="A76" s="88" t="s">
        <v>128</v>
      </c>
      <c r="B76" s="88" t="s">
        <v>33</v>
      </c>
      <c r="C76" s="88" t="s">
        <v>457</v>
      </c>
      <c r="D76" s="89" t="s">
        <v>45</v>
      </c>
      <c r="E76" s="89" t="s">
        <v>5</v>
      </c>
      <c r="F76" s="89" t="str">
        <f t="shared" si="24"/>
        <v>Healthnet Classic Plan-4 Dubai 00-17 Male</v>
      </c>
      <c r="G76" s="19" t="str">
        <f t="shared" si="21"/>
        <v>Classic Plan-4 00-17 Male</v>
      </c>
      <c r="H76" s="36">
        <f t="shared" si="25"/>
        <v>2230</v>
      </c>
      <c r="I76" s="151">
        <v>54.6</v>
      </c>
      <c r="J76" s="36">
        <v>1552</v>
      </c>
      <c r="K76" s="36">
        <f t="shared" ref="K76:K82" si="28">J76+(J76*10%)</f>
        <v>1707</v>
      </c>
      <c r="L76" s="36">
        <v>89</v>
      </c>
      <c r="M76" s="36">
        <f t="shared" si="26"/>
        <v>1851</v>
      </c>
      <c r="N76" s="36" t="s">
        <v>387</v>
      </c>
      <c r="O76" s="17"/>
      <c r="X76" s="94" t="s">
        <v>48</v>
      </c>
      <c r="Y76" s="94" t="s">
        <v>5</v>
      </c>
      <c r="Z76" s="196"/>
      <c r="AA76" s="95">
        <v>5914</v>
      </c>
      <c r="AB76" s="95">
        <f t="shared" si="27"/>
        <v>5914</v>
      </c>
      <c r="AC76" s="196"/>
    </row>
    <row r="77" spans="1:29" x14ac:dyDescent="0.3">
      <c r="A77" s="88" t="s">
        <v>128</v>
      </c>
      <c r="B77" s="88" t="s">
        <v>33</v>
      </c>
      <c r="C77" s="88" t="s">
        <v>457</v>
      </c>
      <c r="D77" s="90" t="s">
        <v>46</v>
      </c>
      <c r="E77" s="89" t="s">
        <v>5</v>
      </c>
      <c r="F77" s="89" t="str">
        <f t="shared" si="24"/>
        <v>Healthnet Classic Plan-4 Dubai 18-35 Male</v>
      </c>
      <c r="G77" s="19" t="str">
        <f t="shared" si="21"/>
        <v>Classic Plan-4 18-35 Male</v>
      </c>
      <c r="H77" s="36">
        <f t="shared" si="25"/>
        <v>2537</v>
      </c>
      <c r="I77" s="151">
        <v>54.6</v>
      </c>
      <c r="J77" s="36">
        <v>1784</v>
      </c>
      <c r="K77" s="36">
        <f t="shared" si="28"/>
        <v>1962</v>
      </c>
      <c r="L77" s="36">
        <v>89</v>
      </c>
      <c r="M77" s="36">
        <f t="shared" si="26"/>
        <v>2106</v>
      </c>
      <c r="N77" s="36" t="s">
        <v>387</v>
      </c>
      <c r="O77" s="17"/>
      <c r="X77" s="94" t="s">
        <v>9</v>
      </c>
      <c r="Y77" s="94" t="s">
        <v>5</v>
      </c>
      <c r="Z77" s="196"/>
      <c r="AA77" s="95">
        <v>8993</v>
      </c>
      <c r="AB77" s="95">
        <f t="shared" si="27"/>
        <v>8993</v>
      </c>
      <c r="AC77" s="196"/>
    </row>
    <row r="78" spans="1:29" x14ac:dyDescent="0.3">
      <c r="A78" s="88" t="s">
        <v>128</v>
      </c>
      <c r="B78" s="88" t="s">
        <v>33</v>
      </c>
      <c r="C78" s="88" t="s">
        <v>457</v>
      </c>
      <c r="D78" s="89" t="s">
        <v>47</v>
      </c>
      <c r="E78" s="89" t="s">
        <v>5</v>
      </c>
      <c r="F78" s="89" t="str">
        <f t="shared" si="24"/>
        <v>Healthnet Classic Plan-4 Dubai 36-45 Male</v>
      </c>
      <c r="G78" s="19" t="str">
        <f t="shared" si="21"/>
        <v>Classic Plan-4 36-45 Male</v>
      </c>
      <c r="H78" s="36">
        <f t="shared" si="25"/>
        <v>2916</v>
      </c>
      <c r="I78" s="151">
        <v>54.6</v>
      </c>
      <c r="J78" s="36">
        <v>2069</v>
      </c>
      <c r="K78" s="36">
        <f t="shared" si="28"/>
        <v>2276</v>
      </c>
      <c r="L78" s="36">
        <v>89</v>
      </c>
      <c r="M78" s="36">
        <f t="shared" si="26"/>
        <v>2420</v>
      </c>
      <c r="N78" s="36" t="s">
        <v>387</v>
      </c>
      <c r="O78" s="17"/>
      <c r="X78" s="94" t="s">
        <v>438</v>
      </c>
      <c r="Y78" s="94" t="s">
        <v>5</v>
      </c>
      <c r="Z78" s="196"/>
      <c r="AA78" s="95">
        <v>10260</v>
      </c>
      <c r="AB78" s="95">
        <f t="shared" si="27"/>
        <v>10260</v>
      </c>
      <c r="AC78" s="196"/>
    </row>
    <row r="79" spans="1:29" x14ac:dyDescent="0.3">
      <c r="A79" s="88" t="s">
        <v>128</v>
      </c>
      <c r="B79" s="88" t="s">
        <v>33</v>
      </c>
      <c r="C79" s="88" t="s">
        <v>457</v>
      </c>
      <c r="D79" s="90" t="s">
        <v>48</v>
      </c>
      <c r="E79" s="89" t="s">
        <v>5</v>
      </c>
      <c r="F79" s="89" t="str">
        <f t="shared" si="24"/>
        <v>Healthnet Classic Plan-4 Dubai 46-55 Male</v>
      </c>
      <c r="G79" s="19" t="str">
        <f t="shared" si="21"/>
        <v>Classic Plan-4 46-55 Male</v>
      </c>
      <c r="H79" s="36">
        <f t="shared" si="25"/>
        <v>5019</v>
      </c>
      <c r="I79" s="151">
        <v>54.6</v>
      </c>
      <c r="J79" s="36">
        <v>3656</v>
      </c>
      <c r="K79" s="36">
        <f t="shared" si="28"/>
        <v>4022</v>
      </c>
      <c r="L79" s="36">
        <v>89</v>
      </c>
      <c r="M79" s="36">
        <f t="shared" si="26"/>
        <v>4166</v>
      </c>
      <c r="N79" s="36" t="s">
        <v>387</v>
      </c>
      <c r="O79" s="17"/>
      <c r="X79" s="94" t="s">
        <v>52</v>
      </c>
      <c r="Y79" s="94" t="s">
        <v>5</v>
      </c>
      <c r="Z79" s="196"/>
      <c r="AA79" s="95">
        <v>12334</v>
      </c>
      <c r="AB79" s="95">
        <f t="shared" si="27"/>
        <v>12334</v>
      </c>
      <c r="AC79" s="196"/>
    </row>
    <row r="80" spans="1:29" x14ac:dyDescent="0.3">
      <c r="A80" s="88" t="s">
        <v>128</v>
      </c>
      <c r="B80" s="88" t="s">
        <v>33</v>
      </c>
      <c r="C80" s="88" t="s">
        <v>457</v>
      </c>
      <c r="D80" s="89" t="s">
        <v>9</v>
      </c>
      <c r="E80" s="89" t="s">
        <v>5</v>
      </c>
      <c r="F80" s="89" t="str">
        <f t="shared" si="24"/>
        <v>Healthnet Classic Plan-4 Dubai 56-59 Male</v>
      </c>
      <c r="G80" s="19" t="str">
        <f t="shared" si="21"/>
        <v>Classic Plan-4 56-59 Male</v>
      </c>
      <c r="H80" s="36">
        <f t="shared" si="25"/>
        <v>5730</v>
      </c>
      <c r="I80" s="151">
        <v>54.6</v>
      </c>
      <c r="J80" s="36">
        <v>4193</v>
      </c>
      <c r="K80" s="36">
        <f t="shared" si="28"/>
        <v>4612</v>
      </c>
      <c r="L80" s="36">
        <v>89</v>
      </c>
      <c r="M80" s="36">
        <f t="shared" si="26"/>
        <v>4756</v>
      </c>
      <c r="N80" s="36" t="s">
        <v>387</v>
      </c>
      <c r="O80" s="17"/>
      <c r="X80" s="94" t="s">
        <v>45</v>
      </c>
      <c r="Y80" s="94" t="s">
        <v>7</v>
      </c>
      <c r="Z80" s="196"/>
      <c r="AA80" s="95">
        <v>3430</v>
      </c>
      <c r="AB80" s="95">
        <f t="shared" si="27"/>
        <v>3430</v>
      </c>
      <c r="AC80" s="196"/>
    </row>
    <row r="81" spans="1:29" x14ac:dyDescent="0.3">
      <c r="A81" s="88" t="s">
        <v>128</v>
      </c>
      <c r="B81" s="88" t="s">
        <v>33</v>
      </c>
      <c r="C81" s="88" t="s">
        <v>457</v>
      </c>
      <c r="D81" s="90" t="s">
        <v>49</v>
      </c>
      <c r="E81" s="89" t="s">
        <v>5</v>
      </c>
      <c r="F81" s="89" t="str">
        <f t="shared" si="24"/>
        <v>Healthnet Classic Plan-4 Dubai 60-65 Male</v>
      </c>
      <c r="G81" s="19" t="str">
        <f t="shared" si="21"/>
        <v>Classic Plan-4 60-65 Male</v>
      </c>
      <c r="H81" s="36">
        <f t="shared" si="25"/>
        <v>7782</v>
      </c>
      <c r="I81" s="151">
        <v>54.6</v>
      </c>
      <c r="J81" s="36">
        <v>5741</v>
      </c>
      <c r="K81" s="36">
        <f t="shared" si="28"/>
        <v>6315</v>
      </c>
      <c r="L81" s="36">
        <v>89</v>
      </c>
      <c r="M81" s="36">
        <f t="shared" si="26"/>
        <v>6459</v>
      </c>
      <c r="N81" s="36" t="s">
        <v>387</v>
      </c>
      <c r="O81" s="17"/>
      <c r="X81" s="94" t="s">
        <v>46</v>
      </c>
      <c r="Y81" s="94" t="s">
        <v>7</v>
      </c>
      <c r="Z81" s="196"/>
      <c r="AA81" s="95">
        <v>4907</v>
      </c>
      <c r="AB81" s="95">
        <f t="shared" si="27"/>
        <v>4907</v>
      </c>
      <c r="AC81" s="196"/>
    </row>
    <row r="82" spans="1:29" x14ac:dyDescent="0.3">
      <c r="A82" s="88" t="s">
        <v>128</v>
      </c>
      <c r="B82" s="88" t="s">
        <v>33</v>
      </c>
      <c r="C82" s="88" t="s">
        <v>457</v>
      </c>
      <c r="D82" s="89" t="s">
        <v>437</v>
      </c>
      <c r="E82" s="89" t="s">
        <v>5</v>
      </c>
      <c r="F82" s="89" t="str">
        <f t="shared" si="24"/>
        <v>Healthnet Classic Plan-4 Dubai 66-70 Male</v>
      </c>
      <c r="G82" s="19" t="str">
        <f t="shared" si="21"/>
        <v>Classic Plan-4 66-70 Male</v>
      </c>
      <c r="H82" s="36">
        <f t="shared" si="25"/>
        <v>10254</v>
      </c>
      <c r="I82" s="151">
        <v>54.6</v>
      </c>
      <c r="J82" s="36">
        <v>7606</v>
      </c>
      <c r="K82" s="36">
        <f t="shared" si="28"/>
        <v>8367</v>
      </c>
      <c r="L82" s="36">
        <v>89</v>
      </c>
      <c r="M82" s="36">
        <f t="shared" si="26"/>
        <v>8511</v>
      </c>
      <c r="N82" s="36" t="s">
        <v>387</v>
      </c>
      <c r="O82" s="17"/>
      <c r="X82" s="94" t="s">
        <v>47</v>
      </c>
      <c r="Y82" s="94" t="s">
        <v>7</v>
      </c>
      <c r="Z82" s="196"/>
      <c r="AA82" s="95">
        <v>5572</v>
      </c>
      <c r="AB82" s="95">
        <f t="shared" si="27"/>
        <v>5572</v>
      </c>
      <c r="AC82" s="196"/>
    </row>
    <row r="83" spans="1:29" x14ac:dyDescent="0.3">
      <c r="A83" s="88" t="s">
        <v>128</v>
      </c>
      <c r="B83" s="88" t="s">
        <v>33</v>
      </c>
      <c r="C83" s="88" t="s">
        <v>457</v>
      </c>
      <c r="D83" s="89" t="s">
        <v>45</v>
      </c>
      <c r="E83" s="89" t="s">
        <v>7</v>
      </c>
      <c r="F83" s="89" t="str">
        <f t="shared" si="24"/>
        <v>Healthnet Classic Plan-4 Dubai 00-17 Female</v>
      </c>
      <c r="G83" s="19" t="str">
        <f t="shared" si="21"/>
        <v>Classic Plan-4 00-17 Female</v>
      </c>
      <c r="H83" s="36">
        <f t="shared" si="25"/>
        <v>2530</v>
      </c>
      <c r="I83" s="151">
        <v>54.6</v>
      </c>
      <c r="J83" s="36">
        <v>1630</v>
      </c>
      <c r="K83" s="36">
        <f t="shared" ref="K83:K89" si="29">J83+(J83*20%)</f>
        <v>1956</v>
      </c>
      <c r="L83" s="36">
        <v>89</v>
      </c>
      <c r="M83" s="36">
        <f t="shared" si="26"/>
        <v>2100</v>
      </c>
      <c r="N83" s="36" t="s">
        <v>387</v>
      </c>
      <c r="O83" s="17"/>
      <c r="X83" s="94" t="s">
        <v>48</v>
      </c>
      <c r="Y83" s="94" t="s">
        <v>7</v>
      </c>
      <c r="Z83" s="196"/>
      <c r="AA83" s="95">
        <v>6953</v>
      </c>
      <c r="AB83" s="95">
        <f t="shared" si="27"/>
        <v>6953</v>
      </c>
      <c r="AC83" s="196"/>
    </row>
    <row r="84" spans="1:29" x14ac:dyDescent="0.3">
      <c r="A84" s="88" t="s">
        <v>128</v>
      </c>
      <c r="B84" s="88" t="s">
        <v>33</v>
      </c>
      <c r="C84" s="88" t="s">
        <v>457</v>
      </c>
      <c r="D84" s="90" t="s">
        <v>46</v>
      </c>
      <c r="E84" s="89" t="s">
        <v>7</v>
      </c>
      <c r="F84" s="89" t="str">
        <f t="shared" si="24"/>
        <v>Healthnet Classic Plan-4 Dubai 18-35 Female</v>
      </c>
      <c r="G84" s="19" t="str">
        <f t="shared" si="21"/>
        <v>Classic Plan-4 18-35 Female</v>
      </c>
      <c r="H84" s="36">
        <f t="shared" si="25"/>
        <v>3124</v>
      </c>
      <c r="I84" s="151">
        <v>54.6</v>
      </c>
      <c r="J84" s="36">
        <v>2041</v>
      </c>
      <c r="K84" s="36">
        <f t="shared" si="29"/>
        <v>2449</v>
      </c>
      <c r="L84" s="36">
        <v>89</v>
      </c>
      <c r="M84" s="36">
        <f t="shared" si="26"/>
        <v>2593</v>
      </c>
      <c r="N84" s="36" t="s">
        <v>387</v>
      </c>
      <c r="O84" s="17"/>
      <c r="X84" s="94" t="s">
        <v>9</v>
      </c>
      <c r="Y84" s="94" t="s">
        <v>7</v>
      </c>
      <c r="Z84" s="196"/>
      <c r="AA84" s="95">
        <v>10072</v>
      </c>
      <c r="AB84" s="95">
        <f t="shared" si="27"/>
        <v>10072</v>
      </c>
      <c r="AC84" s="196"/>
    </row>
    <row r="85" spans="1:29" x14ac:dyDescent="0.3">
      <c r="A85" s="88" t="s">
        <v>128</v>
      </c>
      <c r="B85" s="88" t="s">
        <v>33</v>
      </c>
      <c r="C85" s="88" t="s">
        <v>457</v>
      </c>
      <c r="D85" s="89" t="s">
        <v>47</v>
      </c>
      <c r="E85" s="89" t="s">
        <v>7</v>
      </c>
      <c r="F85" s="89" t="str">
        <f t="shared" si="24"/>
        <v>Healthnet Classic Plan-4 Dubai 36-45 Female</v>
      </c>
      <c r="G85" s="19" t="str">
        <f t="shared" si="21"/>
        <v>Classic Plan-4 36-45 Female</v>
      </c>
      <c r="H85" s="36">
        <f t="shared" si="25"/>
        <v>3961</v>
      </c>
      <c r="I85" s="151">
        <v>54.6</v>
      </c>
      <c r="J85" s="36">
        <v>2620</v>
      </c>
      <c r="K85" s="36">
        <f t="shared" si="29"/>
        <v>3144</v>
      </c>
      <c r="L85" s="36">
        <v>89</v>
      </c>
      <c r="M85" s="36">
        <f t="shared" si="26"/>
        <v>3288</v>
      </c>
      <c r="N85" s="36" t="s">
        <v>387</v>
      </c>
      <c r="O85" s="17"/>
      <c r="X85" s="94" t="s">
        <v>438</v>
      </c>
      <c r="Y85" s="94" t="s">
        <v>7</v>
      </c>
      <c r="Z85" s="196"/>
      <c r="AA85" s="95">
        <v>10260</v>
      </c>
      <c r="AB85" s="95">
        <f t="shared" si="27"/>
        <v>10260</v>
      </c>
      <c r="AC85" s="196"/>
    </row>
    <row r="86" spans="1:29" x14ac:dyDescent="0.3">
      <c r="A86" s="88" t="s">
        <v>128</v>
      </c>
      <c r="B86" s="88" t="s">
        <v>33</v>
      </c>
      <c r="C86" s="88" t="s">
        <v>457</v>
      </c>
      <c r="D86" s="90" t="s">
        <v>48</v>
      </c>
      <c r="E86" s="89" t="s">
        <v>7</v>
      </c>
      <c r="F86" s="89" t="str">
        <f t="shared" si="24"/>
        <v>Healthnet Classic Plan-4 Dubai 46-55 Female</v>
      </c>
      <c r="G86" s="19" t="str">
        <f t="shared" si="21"/>
        <v>Classic Plan-4 46-55 Female</v>
      </c>
      <c r="H86" s="36">
        <f t="shared" si="25"/>
        <v>6147</v>
      </c>
      <c r="I86" s="151">
        <v>54.6</v>
      </c>
      <c r="J86" s="36">
        <v>4132</v>
      </c>
      <c r="K86" s="36">
        <f t="shared" si="29"/>
        <v>4958</v>
      </c>
      <c r="L86" s="36">
        <v>89</v>
      </c>
      <c r="M86" s="36">
        <f t="shared" si="26"/>
        <v>5102</v>
      </c>
      <c r="N86" s="36" t="s">
        <v>387</v>
      </c>
      <c r="O86" s="17"/>
      <c r="X86" s="94" t="s">
        <v>52</v>
      </c>
      <c r="Y86" s="94" t="s">
        <v>7</v>
      </c>
      <c r="Z86" s="197"/>
      <c r="AA86" s="95">
        <v>12334</v>
      </c>
      <c r="AB86" s="95">
        <f t="shared" si="27"/>
        <v>12334</v>
      </c>
      <c r="AC86" s="197"/>
    </row>
    <row r="87" spans="1:29" x14ac:dyDescent="0.3">
      <c r="A87" s="88" t="s">
        <v>128</v>
      </c>
      <c r="B87" s="88" t="s">
        <v>33</v>
      </c>
      <c r="C87" s="88" t="s">
        <v>457</v>
      </c>
      <c r="D87" s="89" t="s">
        <v>9</v>
      </c>
      <c r="E87" s="89" t="s">
        <v>7</v>
      </c>
      <c r="F87" s="89" t="str">
        <f t="shared" si="24"/>
        <v>Healthnet Classic Plan-4 Dubai 56-59 Female</v>
      </c>
      <c r="G87" s="19" t="str">
        <f t="shared" si="21"/>
        <v>Classic Plan-4 56-59 Female</v>
      </c>
      <c r="H87" s="36">
        <f t="shared" si="25"/>
        <v>6852</v>
      </c>
      <c r="I87" s="151">
        <v>54.6</v>
      </c>
      <c r="J87" s="36">
        <v>4619</v>
      </c>
      <c r="K87" s="36">
        <f t="shared" si="29"/>
        <v>5543</v>
      </c>
      <c r="L87" s="36">
        <v>89</v>
      </c>
      <c r="M87" s="36">
        <f t="shared" si="26"/>
        <v>5687</v>
      </c>
      <c r="N87" s="36" t="s">
        <v>387</v>
      </c>
      <c r="O87" s="17"/>
      <c r="X87" s="94" t="s">
        <v>45</v>
      </c>
      <c r="Y87" s="94" t="s">
        <v>5</v>
      </c>
      <c r="Z87" s="195" t="s">
        <v>386</v>
      </c>
      <c r="AA87" s="95">
        <v>2310</v>
      </c>
      <c r="AB87" s="95">
        <f t="shared" ref="AB87:AB100" si="30">AA87+(AA87*$AC$90)</f>
        <v>2310</v>
      </c>
      <c r="AC87" s="198">
        <v>7.0000000000000007E-2</v>
      </c>
    </row>
    <row r="88" spans="1:29" x14ac:dyDescent="0.3">
      <c r="A88" s="88" t="s">
        <v>128</v>
      </c>
      <c r="B88" s="88" t="s">
        <v>33</v>
      </c>
      <c r="C88" s="88" t="s">
        <v>457</v>
      </c>
      <c r="D88" s="90" t="s">
        <v>49</v>
      </c>
      <c r="E88" s="89" t="s">
        <v>7</v>
      </c>
      <c r="F88" s="89" t="str">
        <f t="shared" si="24"/>
        <v>Healthnet Classic Plan-4 Dubai 60-65 Female</v>
      </c>
      <c r="G88" s="19" t="str">
        <f t="shared" si="21"/>
        <v>Classic Plan-4 60-65 Female</v>
      </c>
      <c r="H88" s="36">
        <f t="shared" si="25"/>
        <v>8473</v>
      </c>
      <c r="I88" s="151">
        <v>54.6</v>
      </c>
      <c r="J88" s="36">
        <v>5741</v>
      </c>
      <c r="K88" s="36">
        <f t="shared" si="29"/>
        <v>6889</v>
      </c>
      <c r="L88" s="36">
        <v>89</v>
      </c>
      <c r="M88" s="36">
        <f t="shared" si="26"/>
        <v>7033</v>
      </c>
      <c r="N88" s="36" t="s">
        <v>387</v>
      </c>
      <c r="O88" s="17"/>
      <c r="X88" s="94" t="s">
        <v>46</v>
      </c>
      <c r="Y88" s="94" t="s">
        <v>5</v>
      </c>
      <c r="Z88" s="196"/>
      <c r="AA88" s="95">
        <v>2606</v>
      </c>
      <c r="AB88" s="95">
        <f t="shared" si="30"/>
        <v>2606</v>
      </c>
      <c r="AC88" s="196"/>
    </row>
    <row r="89" spans="1:29" x14ac:dyDescent="0.3">
      <c r="A89" s="88" t="s">
        <v>128</v>
      </c>
      <c r="B89" s="88" t="s">
        <v>33</v>
      </c>
      <c r="C89" s="88" t="s">
        <v>457</v>
      </c>
      <c r="D89" s="89" t="s">
        <v>437</v>
      </c>
      <c r="E89" s="89" t="s">
        <v>7</v>
      </c>
      <c r="F89" s="89" t="str">
        <f t="shared" si="24"/>
        <v>Healthnet Classic Plan-4 Dubai 66-70 Female</v>
      </c>
      <c r="G89" s="19" t="str">
        <f t="shared" si="21"/>
        <v>Classic Plan-4 66-70 Female</v>
      </c>
      <c r="H89" s="36">
        <f t="shared" si="25"/>
        <v>11170</v>
      </c>
      <c r="I89" s="151">
        <v>54.6</v>
      </c>
      <c r="J89" s="36">
        <v>7606</v>
      </c>
      <c r="K89" s="36">
        <f t="shared" si="29"/>
        <v>9127</v>
      </c>
      <c r="L89" s="36">
        <v>89</v>
      </c>
      <c r="M89" s="36">
        <f t="shared" si="26"/>
        <v>9271</v>
      </c>
      <c r="N89" s="36" t="s">
        <v>387</v>
      </c>
      <c r="O89" s="17"/>
      <c r="X89" s="94" t="s">
        <v>47</v>
      </c>
      <c r="Y89" s="94" t="s">
        <v>5</v>
      </c>
      <c r="Z89" s="196"/>
      <c r="AA89" s="95">
        <v>2968</v>
      </c>
      <c r="AB89" s="95">
        <f t="shared" si="30"/>
        <v>2968</v>
      </c>
      <c r="AC89" s="196"/>
    </row>
    <row r="90" spans="1:29" x14ac:dyDescent="0.3">
      <c r="A90" s="88" t="s">
        <v>128</v>
      </c>
      <c r="B90" s="88" t="s">
        <v>33</v>
      </c>
      <c r="C90" s="88" t="s">
        <v>458</v>
      </c>
      <c r="D90" s="89" t="s">
        <v>45</v>
      </c>
      <c r="E90" s="89" t="s">
        <v>5</v>
      </c>
      <c r="F90" s="89" t="str">
        <f t="shared" si="24"/>
        <v>Healthnet Classic Plan-1R Dubai 00-17 Male</v>
      </c>
      <c r="G90" s="19" t="str">
        <f t="shared" si="21"/>
        <v>Classic Plan-1R 00-17 Male</v>
      </c>
      <c r="H90" s="36">
        <f t="shared" si="25"/>
        <v>4384</v>
      </c>
      <c r="I90" s="151">
        <v>54.6</v>
      </c>
      <c r="J90" s="36">
        <v>3101</v>
      </c>
      <c r="K90" s="36">
        <f t="shared" ref="K90:K96" si="31">J90+(J90*10%)</f>
        <v>3411</v>
      </c>
      <c r="L90" s="36">
        <v>173</v>
      </c>
      <c r="M90" s="36">
        <f t="shared" si="26"/>
        <v>3639</v>
      </c>
      <c r="N90" s="36" t="s">
        <v>384</v>
      </c>
      <c r="O90" s="17"/>
      <c r="X90" s="94" t="s">
        <v>48</v>
      </c>
      <c r="Y90" s="94" t="s">
        <v>5</v>
      </c>
      <c r="Z90" s="196"/>
      <c r="AA90" s="95">
        <v>4207</v>
      </c>
      <c r="AB90" s="95">
        <f t="shared" si="30"/>
        <v>4207</v>
      </c>
      <c r="AC90" s="196"/>
    </row>
    <row r="91" spans="1:29" x14ac:dyDescent="0.3">
      <c r="A91" s="88" t="s">
        <v>128</v>
      </c>
      <c r="B91" s="88" t="s">
        <v>33</v>
      </c>
      <c r="C91" s="88" t="s">
        <v>458</v>
      </c>
      <c r="D91" s="90" t="s">
        <v>46</v>
      </c>
      <c r="E91" s="89" t="s">
        <v>5</v>
      </c>
      <c r="F91" s="89" t="str">
        <f t="shared" si="24"/>
        <v>Healthnet Classic Plan-1R Dubai 18-35 Male</v>
      </c>
      <c r="G91" s="19" t="str">
        <f t="shared" si="21"/>
        <v>Classic Plan-1R 18-35 Male</v>
      </c>
      <c r="H91" s="36">
        <f t="shared" si="25"/>
        <v>5049</v>
      </c>
      <c r="I91" s="151">
        <v>54.6</v>
      </c>
      <c r="J91" s="36">
        <v>3603</v>
      </c>
      <c r="K91" s="36">
        <f t="shared" si="31"/>
        <v>3963</v>
      </c>
      <c r="L91" s="36">
        <v>173</v>
      </c>
      <c r="M91" s="36">
        <f t="shared" si="26"/>
        <v>4191</v>
      </c>
      <c r="N91" s="36" t="s">
        <v>384</v>
      </c>
      <c r="O91" s="17"/>
      <c r="X91" s="94" t="s">
        <v>9</v>
      </c>
      <c r="Y91" s="94" t="s">
        <v>5</v>
      </c>
      <c r="Z91" s="196"/>
      <c r="AA91" s="95">
        <v>5678</v>
      </c>
      <c r="AB91" s="95">
        <f t="shared" si="30"/>
        <v>5678</v>
      </c>
      <c r="AC91" s="196"/>
    </row>
    <row r="92" spans="1:29" x14ac:dyDescent="0.3">
      <c r="A92" s="88" t="s">
        <v>128</v>
      </c>
      <c r="B92" s="88" t="s">
        <v>33</v>
      </c>
      <c r="C92" s="88" t="s">
        <v>458</v>
      </c>
      <c r="D92" s="89" t="s">
        <v>47</v>
      </c>
      <c r="E92" s="89" t="s">
        <v>5</v>
      </c>
      <c r="F92" s="89" t="str">
        <f t="shared" si="24"/>
        <v>Healthnet Classic Plan-1R Dubai 36-45 Male</v>
      </c>
      <c r="G92" s="19" t="str">
        <f t="shared" si="21"/>
        <v>Classic Plan-1R 36-45 Male</v>
      </c>
      <c r="H92" s="36">
        <f t="shared" si="25"/>
        <v>5963</v>
      </c>
      <c r="I92" s="151">
        <v>54.6</v>
      </c>
      <c r="J92" s="36">
        <v>4292</v>
      </c>
      <c r="K92" s="36">
        <f t="shared" si="31"/>
        <v>4721</v>
      </c>
      <c r="L92" s="36">
        <v>173</v>
      </c>
      <c r="M92" s="36">
        <f t="shared" si="26"/>
        <v>4949</v>
      </c>
      <c r="N92" s="36" t="s">
        <v>384</v>
      </c>
      <c r="O92" s="17"/>
      <c r="X92" s="94" t="s">
        <v>438</v>
      </c>
      <c r="Y92" s="94" t="s">
        <v>5</v>
      </c>
      <c r="Z92" s="196"/>
      <c r="AA92" s="95">
        <v>7323</v>
      </c>
      <c r="AB92" s="95">
        <f t="shared" si="30"/>
        <v>7323</v>
      </c>
      <c r="AC92" s="196"/>
    </row>
    <row r="93" spans="1:29" x14ac:dyDescent="0.3">
      <c r="A93" s="88" t="s">
        <v>128</v>
      </c>
      <c r="B93" s="88" t="s">
        <v>33</v>
      </c>
      <c r="C93" s="88" t="s">
        <v>458</v>
      </c>
      <c r="D93" s="90" t="s">
        <v>48</v>
      </c>
      <c r="E93" s="89" t="s">
        <v>5</v>
      </c>
      <c r="F93" s="89" t="str">
        <f t="shared" si="24"/>
        <v>Healthnet Classic Plan-1R Dubai 46-55 Male</v>
      </c>
      <c r="G93" s="19" t="str">
        <f t="shared" si="21"/>
        <v>Classic Plan-1R 46-55 Male</v>
      </c>
      <c r="H93" s="36">
        <f t="shared" si="25"/>
        <v>10295</v>
      </c>
      <c r="I93" s="151">
        <v>54.6</v>
      </c>
      <c r="J93" s="36">
        <v>7561</v>
      </c>
      <c r="K93" s="36">
        <f t="shared" si="31"/>
        <v>8317</v>
      </c>
      <c r="L93" s="36">
        <v>173</v>
      </c>
      <c r="M93" s="36">
        <f t="shared" si="26"/>
        <v>8545</v>
      </c>
      <c r="N93" s="36" t="s">
        <v>384</v>
      </c>
      <c r="O93" s="17"/>
      <c r="X93" s="94" t="s">
        <v>52</v>
      </c>
      <c r="Y93" s="94" t="s">
        <v>5</v>
      </c>
      <c r="Z93" s="196"/>
      <c r="AA93" s="95">
        <v>9702</v>
      </c>
      <c r="AB93" s="95">
        <f t="shared" si="30"/>
        <v>9702</v>
      </c>
      <c r="AC93" s="196"/>
    </row>
    <row r="94" spans="1:29" x14ac:dyDescent="0.3">
      <c r="A94" s="88" t="s">
        <v>128</v>
      </c>
      <c r="B94" s="88" t="s">
        <v>33</v>
      </c>
      <c r="C94" s="88" t="s">
        <v>458</v>
      </c>
      <c r="D94" s="89" t="s">
        <v>9</v>
      </c>
      <c r="E94" s="89" t="s">
        <v>5</v>
      </c>
      <c r="F94" s="89" t="str">
        <f t="shared" si="24"/>
        <v>Healthnet Classic Plan-1R Dubai 56-59 Male</v>
      </c>
      <c r="G94" s="19" t="str">
        <f t="shared" si="21"/>
        <v>Classic Plan-1R 56-59 Male</v>
      </c>
      <c r="H94" s="36">
        <f t="shared" si="25"/>
        <v>12787</v>
      </c>
      <c r="I94" s="151">
        <v>54.6</v>
      </c>
      <c r="J94" s="36">
        <v>9441</v>
      </c>
      <c r="K94" s="36">
        <f t="shared" si="31"/>
        <v>10385</v>
      </c>
      <c r="L94" s="36">
        <v>173</v>
      </c>
      <c r="M94" s="36">
        <f t="shared" si="26"/>
        <v>10613</v>
      </c>
      <c r="N94" s="36" t="s">
        <v>384</v>
      </c>
      <c r="O94" s="17"/>
      <c r="X94" s="94" t="s">
        <v>45</v>
      </c>
      <c r="Y94" s="94" t="s">
        <v>7</v>
      </c>
      <c r="Z94" s="196"/>
      <c r="AA94" s="95">
        <v>2426</v>
      </c>
      <c r="AB94" s="95">
        <f t="shared" si="30"/>
        <v>2426</v>
      </c>
      <c r="AC94" s="196"/>
    </row>
    <row r="95" spans="1:29" x14ac:dyDescent="0.3">
      <c r="A95" s="88" t="s">
        <v>128</v>
      </c>
      <c r="B95" s="88" t="s">
        <v>33</v>
      </c>
      <c r="C95" s="88" t="s">
        <v>458</v>
      </c>
      <c r="D95" s="90" t="s">
        <v>49</v>
      </c>
      <c r="E95" s="89" t="s">
        <v>5</v>
      </c>
      <c r="F95" s="89" t="str">
        <f t="shared" si="24"/>
        <v>Healthnet Classic Plan-1R Dubai 60-65 Male</v>
      </c>
      <c r="G95" s="19" t="str">
        <f t="shared" si="21"/>
        <v>Classic Plan-1R 60-65 Male</v>
      </c>
      <c r="H95" s="36">
        <f t="shared" si="25"/>
        <v>18439</v>
      </c>
      <c r="I95" s="151">
        <v>54.6</v>
      </c>
      <c r="J95" s="36">
        <v>13705</v>
      </c>
      <c r="K95" s="36">
        <f t="shared" si="31"/>
        <v>15076</v>
      </c>
      <c r="L95" s="36">
        <v>173</v>
      </c>
      <c r="M95" s="36">
        <f t="shared" si="26"/>
        <v>15304</v>
      </c>
      <c r="N95" s="36" t="s">
        <v>384</v>
      </c>
      <c r="O95" s="17"/>
      <c r="X95" s="94" t="s">
        <v>46</v>
      </c>
      <c r="Y95" s="94" t="s">
        <v>7</v>
      </c>
      <c r="Z95" s="196"/>
      <c r="AA95" s="95">
        <v>3946</v>
      </c>
      <c r="AB95" s="95">
        <f t="shared" si="30"/>
        <v>3946</v>
      </c>
      <c r="AC95" s="196"/>
    </row>
    <row r="96" spans="1:29" x14ac:dyDescent="0.3">
      <c r="A96" s="88" t="s">
        <v>128</v>
      </c>
      <c r="B96" s="88" t="s">
        <v>33</v>
      </c>
      <c r="C96" s="88" t="s">
        <v>458</v>
      </c>
      <c r="D96" s="89" t="s">
        <v>437</v>
      </c>
      <c r="E96" s="89" t="s">
        <v>5</v>
      </c>
      <c r="F96" s="89" t="str">
        <f t="shared" si="24"/>
        <v>Healthnet Classic Plan-1R Dubai 66-70 Male</v>
      </c>
      <c r="G96" s="19" t="str">
        <f t="shared" si="21"/>
        <v>Classic Plan-1R 66-70 Male</v>
      </c>
      <c r="H96" s="36">
        <f t="shared" si="25"/>
        <v>28796</v>
      </c>
      <c r="I96" s="151">
        <v>54.6</v>
      </c>
      <c r="J96" s="36">
        <v>21521</v>
      </c>
      <c r="K96" s="36">
        <f t="shared" si="31"/>
        <v>23673</v>
      </c>
      <c r="L96" s="36">
        <v>173</v>
      </c>
      <c r="M96" s="36">
        <f t="shared" si="26"/>
        <v>23901</v>
      </c>
      <c r="N96" s="36" t="s">
        <v>384</v>
      </c>
      <c r="O96" s="17"/>
      <c r="X96" s="94" t="s">
        <v>47</v>
      </c>
      <c r="Y96" s="94" t="s">
        <v>7</v>
      </c>
      <c r="Z96" s="196"/>
      <c r="AA96" s="95">
        <v>4326</v>
      </c>
      <c r="AB96" s="95">
        <f t="shared" si="30"/>
        <v>4326</v>
      </c>
      <c r="AC96" s="196"/>
    </row>
    <row r="97" spans="1:29" x14ac:dyDescent="0.3">
      <c r="A97" s="88" t="s">
        <v>128</v>
      </c>
      <c r="B97" s="88" t="s">
        <v>33</v>
      </c>
      <c r="C97" s="88" t="s">
        <v>458</v>
      </c>
      <c r="D97" s="89" t="s">
        <v>45</v>
      </c>
      <c r="E97" s="89" t="s">
        <v>7</v>
      </c>
      <c r="F97" s="89" t="str">
        <f t="shared" si="24"/>
        <v>Healthnet Classic Plan-1R Dubai 00-17 Female</v>
      </c>
      <c r="G97" s="19" t="str">
        <f t="shared" si="21"/>
        <v>Classic Plan-1R 00-17 Female</v>
      </c>
      <c r="H97" s="36">
        <f t="shared" si="25"/>
        <v>4982</v>
      </c>
      <c r="I97" s="151">
        <v>54.6</v>
      </c>
      <c r="J97" s="36">
        <v>3256</v>
      </c>
      <c r="K97" s="36">
        <f t="shared" ref="K97:K103" si="32">J97+(J97*20%)</f>
        <v>3907</v>
      </c>
      <c r="L97" s="36">
        <v>173</v>
      </c>
      <c r="M97" s="36">
        <f t="shared" si="26"/>
        <v>4135</v>
      </c>
      <c r="N97" s="36" t="s">
        <v>384</v>
      </c>
      <c r="O97" s="17"/>
      <c r="X97" s="94" t="s">
        <v>48</v>
      </c>
      <c r="Y97" s="94" t="s">
        <v>7</v>
      </c>
      <c r="Z97" s="196"/>
      <c r="AA97" s="95">
        <v>5045</v>
      </c>
      <c r="AB97" s="95">
        <f t="shared" si="30"/>
        <v>5045</v>
      </c>
      <c r="AC97" s="196"/>
    </row>
    <row r="98" spans="1:29" x14ac:dyDescent="0.3">
      <c r="A98" s="88" t="s">
        <v>128</v>
      </c>
      <c r="B98" s="88" t="s">
        <v>33</v>
      </c>
      <c r="C98" s="88" t="s">
        <v>458</v>
      </c>
      <c r="D98" s="90" t="s">
        <v>46</v>
      </c>
      <c r="E98" s="89" t="s">
        <v>7</v>
      </c>
      <c r="F98" s="89" t="str">
        <f t="shared" si="24"/>
        <v>Healthnet Classic Plan-1R Dubai 18-35 Female</v>
      </c>
      <c r="G98" s="19" t="str">
        <f t="shared" si="21"/>
        <v>Classic Plan-1R 18-35 Female</v>
      </c>
      <c r="H98" s="36">
        <f t="shared" si="25"/>
        <v>5746</v>
      </c>
      <c r="I98" s="151">
        <v>54.6</v>
      </c>
      <c r="J98" s="36">
        <v>3784</v>
      </c>
      <c r="K98" s="36">
        <f t="shared" si="32"/>
        <v>4541</v>
      </c>
      <c r="L98" s="36">
        <v>173</v>
      </c>
      <c r="M98" s="36">
        <f t="shared" si="26"/>
        <v>4769</v>
      </c>
      <c r="N98" s="36" t="s">
        <v>384</v>
      </c>
      <c r="O98" s="17"/>
      <c r="X98" s="94" t="s">
        <v>9</v>
      </c>
      <c r="Y98" s="94" t="s">
        <v>7</v>
      </c>
      <c r="Z98" s="196"/>
      <c r="AA98" s="95">
        <v>6237</v>
      </c>
      <c r="AB98" s="95">
        <f t="shared" si="30"/>
        <v>6237</v>
      </c>
      <c r="AC98" s="196"/>
    </row>
    <row r="99" spans="1:29" x14ac:dyDescent="0.3">
      <c r="A99" s="88" t="s">
        <v>128</v>
      </c>
      <c r="B99" s="88" t="s">
        <v>33</v>
      </c>
      <c r="C99" s="88" t="s">
        <v>458</v>
      </c>
      <c r="D99" s="89" t="s">
        <v>47</v>
      </c>
      <c r="E99" s="89" t="s">
        <v>7</v>
      </c>
      <c r="F99" s="89" t="str">
        <f t="shared" si="24"/>
        <v>Healthnet Classic Plan-1R Dubai 36-45 Female</v>
      </c>
      <c r="G99" s="19" t="str">
        <f t="shared" si="21"/>
        <v>Classic Plan-1R 36-45 Female</v>
      </c>
      <c r="H99" s="36">
        <f t="shared" si="25"/>
        <v>6790</v>
      </c>
      <c r="I99" s="151">
        <v>54.6</v>
      </c>
      <c r="J99" s="36">
        <v>4507</v>
      </c>
      <c r="K99" s="36">
        <f t="shared" si="32"/>
        <v>5408</v>
      </c>
      <c r="L99" s="36">
        <v>173</v>
      </c>
      <c r="M99" s="36">
        <f t="shared" si="26"/>
        <v>5636</v>
      </c>
      <c r="N99" s="36" t="s">
        <v>384</v>
      </c>
      <c r="O99" s="17"/>
      <c r="X99" s="94" t="s">
        <v>438</v>
      </c>
      <c r="Y99" s="94" t="s">
        <v>7</v>
      </c>
      <c r="Z99" s="196"/>
      <c r="AA99" s="95">
        <v>7323</v>
      </c>
      <c r="AB99" s="95">
        <f t="shared" si="30"/>
        <v>7323</v>
      </c>
      <c r="AC99" s="196"/>
    </row>
    <row r="100" spans="1:29" x14ac:dyDescent="0.3">
      <c r="A100" s="88" t="s">
        <v>128</v>
      </c>
      <c r="B100" s="88" t="s">
        <v>33</v>
      </c>
      <c r="C100" s="88" t="s">
        <v>458</v>
      </c>
      <c r="D100" s="90" t="s">
        <v>48</v>
      </c>
      <c r="E100" s="89" t="s">
        <v>7</v>
      </c>
      <c r="F100" s="89" t="str">
        <f t="shared" si="24"/>
        <v>Healthnet Classic Plan-1R Dubai 46-55 Female</v>
      </c>
      <c r="G100" s="19" t="str">
        <f t="shared" si="21"/>
        <v>Classic Plan-1R 46-55 Female</v>
      </c>
      <c r="H100" s="36">
        <f t="shared" si="25"/>
        <v>12765</v>
      </c>
      <c r="I100" s="151">
        <v>54.6</v>
      </c>
      <c r="J100" s="36">
        <v>8639</v>
      </c>
      <c r="K100" s="36">
        <f t="shared" si="32"/>
        <v>10367</v>
      </c>
      <c r="L100" s="36">
        <v>173</v>
      </c>
      <c r="M100" s="36">
        <f t="shared" si="26"/>
        <v>10595</v>
      </c>
      <c r="N100" s="36" t="s">
        <v>384</v>
      </c>
      <c r="O100" s="17"/>
      <c r="X100" s="94" t="s">
        <v>52</v>
      </c>
      <c r="Y100" s="94" t="s">
        <v>7</v>
      </c>
      <c r="Z100" s="197"/>
      <c r="AA100" s="95">
        <v>9702</v>
      </c>
      <c r="AB100" s="95">
        <f t="shared" si="30"/>
        <v>9702</v>
      </c>
      <c r="AC100" s="197"/>
    </row>
    <row r="101" spans="1:29" x14ac:dyDescent="0.3">
      <c r="A101" s="88" t="s">
        <v>128</v>
      </c>
      <c r="B101" s="88" t="s">
        <v>33</v>
      </c>
      <c r="C101" s="88" t="s">
        <v>458</v>
      </c>
      <c r="D101" s="89" t="s">
        <v>9</v>
      </c>
      <c r="E101" s="89" t="s">
        <v>7</v>
      </c>
      <c r="F101" s="89" t="str">
        <f t="shared" si="24"/>
        <v>Healthnet Classic Plan-1R Dubai 56-59 Female</v>
      </c>
      <c r="G101" s="19" t="str">
        <f t="shared" si="21"/>
        <v>Classic Plan-1R 56-59 Female</v>
      </c>
      <c r="H101" s="36">
        <f t="shared" si="25"/>
        <v>16025</v>
      </c>
      <c r="I101" s="151">
        <v>54.6</v>
      </c>
      <c r="J101" s="36">
        <v>10894</v>
      </c>
      <c r="K101" s="36">
        <f t="shared" si="32"/>
        <v>13073</v>
      </c>
      <c r="L101" s="36">
        <v>173</v>
      </c>
      <c r="M101" s="36">
        <f t="shared" si="26"/>
        <v>13301</v>
      </c>
      <c r="N101" s="36" t="s">
        <v>384</v>
      </c>
      <c r="O101" s="17"/>
      <c r="X101" s="94" t="s">
        <v>45</v>
      </c>
      <c r="Y101" s="94" t="s">
        <v>5</v>
      </c>
      <c r="Z101" s="195" t="s">
        <v>387</v>
      </c>
      <c r="AA101" s="95">
        <v>1617</v>
      </c>
      <c r="AB101" s="95">
        <f t="shared" ref="AB101:AB114" si="33">AA101+(AA101*$AC$104)</f>
        <v>1617</v>
      </c>
      <c r="AC101" s="198">
        <v>0.08</v>
      </c>
    </row>
    <row r="102" spans="1:29" x14ac:dyDescent="0.3">
      <c r="A102" s="88" t="s">
        <v>128</v>
      </c>
      <c r="B102" s="88" t="s">
        <v>33</v>
      </c>
      <c r="C102" s="88" t="s">
        <v>458</v>
      </c>
      <c r="D102" s="90" t="s">
        <v>49</v>
      </c>
      <c r="E102" s="89" t="s">
        <v>7</v>
      </c>
      <c r="F102" s="89" t="str">
        <f t="shared" si="24"/>
        <v>Healthnet Classic Plan-1R Dubai 60-65 Female</v>
      </c>
      <c r="G102" s="19" t="str">
        <f t="shared" si="21"/>
        <v>Classic Plan-1R 60-65 Female</v>
      </c>
      <c r="H102" s="36">
        <f t="shared" ref="H102:H134" si="34">ROUND(M102/(1-$H$4),0)</f>
        <v>21081</v>
      </c>
      <c r="I102" s="151">
        <v>54.6</v>
      </c>
      <c r="J102" s="36">
        <v>14391</v>
      </c>
      <c r="K102" s="36">
        <f t="shared" si="32"/>
        <v>17269</v>
      </c>
      <c r="L102" s="36">
        <v>173</v>
      </c>
      <c r="M102" s="36">
        <f t="shared" si="26"/>
        <v>17497</v>
      </c>
      <c r="N102" s="36" t="s">
        <v>384</v>
      </c>
      <c r="O102" s="17"/>
      <c r="X102" s="94" t="s">
        <v>46</v>
      </c>
      <c r="Y102" s="94" t="s">
        <v>5</v>
      </c>
      <c r="Z102" s="196"/>
      <c r="AA102" s="95">
        <v>1824</v>
      </c>
      <c r="AB102" s="95">
        <f t="shared" si="33"/>
        <v>1824</v>
      </c>
      <c r="AC102" s="196"/>
    </row>
    <row r="103" spans="1:29" x14ac:dyDescent="0.3">
      <c r="A103" s="88" t="s">
        <v>128</v>
      </c>
      <c r="B103" s="88" t="s">
        <v>33</v>
      </c>
      <c r="C103" s="88" t="s">
        <v>458</v>
      </c>
      <c r="D103" s="89" t="s">
        <v>437</v>
      </c>
      <c r="E103" s="89" t="s">
        <v>7</v>
      </c>
      <c r="F103" s="89" t="str">
        <f t="shared" si="24"/>
        <v>Healthnet Classic Plan-1R Dubai 66-70 Female</v>
      </c>
      <c r="G103" s="19" t="str">
        <f t="shared" si="21"/>
        <v>Classic Plan-1R 66-70 Female</v>
      </c>
      <c r="H103" s="36">
        <f t="shared" si="34"/>
        <v>32945</v>
      </c>
      <c r="I103" s="151">
        <v>54.6</v>
      </c>
      <c r="J103" s="36">
        <v>22597</v>
      </c>
      <c r="K103" s="36">
        <f t="shared" si="32"/>
        <v>27116</v>
      </c>
      <c r="L103" s="36">
        <v>173</v>
      </c>
      <c r="M103" s="36">
        <f t="shared" si="26"/>
        <v>27344</v>
      </c>
      <c r="N103" s="36" t="s">
        <v>384</v>
      </c>
      <c r="O103" s="17"/>
      <c r="X103" s="94" t="s">
        <v>47</v>
      </c>
      <c r="Y103" s="94" t="s">
        <v>5</v>
      </c>
      <c r="Z103" s="196"/>
      <c r="AA103" s="95">
        <v>2078</v>
      </c>
      <c r="AB103" s="95">
        <f t="shared" si="33"/>
        <v>2078</v>
      </c>
      <c r="AC103" s="196"/>
    </row>
    <row r="104" spans="1:29" x14ac:dyDescent="0.3">
      <c r="A104" s="88" t="s">
        <v>128</v>
      </c>
      <c r="B104" s="88" t="s">
        <v>33</v>
      </c>
      <c r="C104" s="88" t="s">
        <v>459</v>
      </c>
      <c r="D104" s="89" t="s">
        <v>45</v>
      </c>
      <c r="E104" s="89" t="s">
        <v>5</v>
      </c>
      <c r="F104" s="89" t="str">
        <f t="shared" si="24"/>
        <v>Healthnet Classic Plan-2R Dubai 00-17 Male</v>
      </c>
      <c r="G104" s="19" t="str">
        <f t="shared" si="21"/>
        <v>Classic Plan-2R 00-17 Male</v>
      </c>
      <c r="H104" s="36">
        <f t="shared" si="34"/>
        <v>3794</v>
      </c>
      <c r="I104" s="151">
        <v>54.6</v>
      </c>
      <c r="J104" s="36">
        <v>2732</v>
      </c>
      <c r="K104" s="36">
        <f t="shared" ref="K104:K110" si="35">J104+(J104*10%)</f>
        <v>3005</v>
      </c>
      <c r="L104" s="36">
        <v>89</v>
      </c>
      <c r="M104" s="36">
        <f t="shared" si="26"/>
        <v>3149</v>
      </c>
      <c r="N104" s="36" t="s">
        <v>385</v>
      </c>
      <c r="O104" s="17"/>
      <c r="X104" s="94" t="s">
        <v>48</v>
      </c>
      <c r="Y104" s="94" t="s">
        <v>5</v>
      </c>
      <c r="Z104" s="196"/>
      <c r="AA104" s="95">
        <v>3495</v>
      </c>
      <c r="AB104" s="95">
        <f t="shared" si="33"/>
        <v>3495</v>
      </c>
      <c r="AC104" s="196"/>
    </row>
    <row r="105" spans="1:29" x14ac:dyDescent="0.3">
      <c r="A105" s="88" t="s">
        <v>128</v>
      </c>
      <c r="B105" s="88" t="s">
        <v>33</v>
      </c>
      <c r="C105" s="88" t="s">
        <v>459</v>
      </c>
      <c r="D105" s="90" t="s">
        <v>46</v>
      </c>
      <c r="E105" s="89" t="s">
        <v>5</v>
      </c>
      <c r="F105" s="89" t="str">
        <f t="shared" si="24"/>
        <v>Healthnet Classic Plan-2R Dubai 18-35 Male</v>
      </c>
      <c r="G105" s="19" t="str">
        <f t="shared" si="21"/>
        <v>Classic Plan-2R 18-35 Male</v>
      </c>
      <c r="H105" s="36">
        <f t="shared" si="34"/>
        <v>3981</v>
      </c>
      <c r="I105" s="151">
        <v>54.6</v>
      </c>
      <c r="J105" s="36">
        <v>2873</v>
      </c>
      <c r="K105" s="36">
        <f t="shared" si="35"/>
        <v>3160</v>
      </c>
      <c r="L105" s="36">
        <v>89</v>
      </c>
      <c r="M105" s="36">
        <f t="shared" si="26"/>
        <v>3304</v>
      </c>
      <c r="N105" s="36" t="s">
        <v>385</v>
      </c>
      <c r="O105" s="17"/>
      <c r="X105" s="94" t="s">
        <v>9</v>
      </c>
      <c r="Y105" s="94" t="s">
        <v>5</v>
      </c>
      <c r="Z105" s="196"/>
      <c r="AA105" s="95">
        <v>3975</v>
      </c>
      <c r="AB105" s="95">
        <f t="shared" si="33"/>
        <v>3975</v>
      </c>
      <c r="AC105" s="196"/>
    </row>
    <row r="106" spans="1:29" x14ac:dyDescent="0.3">
      <c r="A106" s="88" t="s">
        <v>128</v>
      </c>
      <c r="B106" s="88" t="s">
        <v>33</v>
      </c>
      <c r="C106" s="88" t="s">
        <v>459</v>
      </c>
      <c r="D106" s="89" t="s">
        <v>47</v>
      </c>
      <c r="E106" s="89" t="s">
        <v>5</v>
      </c>
      <c r="F106" s="89" t="str">
        <f t="shared" si="24"/>
        <v>Healthnet Classic Plan-2R Dubai 36-45 Male</v>
      </c>
      <c r="G106" s="19" t="str">
        <f t="shared" si="21"/>
        <v>Classic Plan-2R 36-45 Male</v>
      </c>
      <c r="H106" s="36">
        <f t="shared" si="34"/>
        <v>4767</v>
      </c>
      <c r="I106" s="151">
        <v>54.6</v>
      </c>
      <c r="J106" s="36">
        <v>3466</v>
      </c>
      <c r="K106" s="36">
        <f t="shared" si="35"/>
        <v>3813</v>
      </c>
      <c r="L106" s="36">
        <v>89</v>
      </c>
      <c r="M106" s="36">
        <f t="shared" si="26"/>
        <v>3957</v>
      </c>
      <c r="N106" s="36" t="s">
        <v>385</v>
      </c>
      <c r="O106" s="17"/>
      <c r="X106" s="94" t="s">
        <v>438</v>
      </c>
      <c r="Y106" s="94" t="s">
        <v>5</v>
      </c>
      <c r="Z106" s="196"/>
      <c r="AA106" s="95">
        <v>5126</v>
      </c>
      <c r="AB106" s="95">
        <f t="shared" si="33"/>
        <v>5126</v>
      </c>
      <c r="AC106" s="196"/>
    </row>
    <row r="107" spans="1:29" x14ac:dyDescent="0.3">
      <c r="A107" s="88" t="s">
        <v>128</v>
      </c>
      <c r="B107" s="88" t="s">
        <v>33</v>
      </c>
      <c r="C107" s="88" t="s">
        <v>459</v>
      </c>
      <c r="D107" s="90" t="s">
        <v>48</v>
      </c>
      <c r="E107" s="89" t="s">
        <v>5</v>
      </c>
      <c r="F107" s="89" t="str">
        <f t="shared" si="24"/>
        <v>Healthnet Classic Plan-2R Dubai 46-55 Male</v>
      </c>
      <c r="G107" s="19" t="str">
        <f t="shared" si="21"/>
        <v>Classic Plan-2R 46-55 Male</v>
      </c>
      <c r="H107" s="36">
        <f t="shared" si="34"/>
        <v>7573</v>
      </c>
      <c r="I107" s="151">
        <v>54.6</v>
      </c>
      <c r="J107" s="36">
        <v>5584</v>
      </c>
      <c r="K107" s="36">
        <f t="shared" si="35"/>
        <v>6142</v>
      </c>
      <c r="L107" s="36">
        <v>89</v>
      </c>
      <c r="M107" s="36">
        <f t="shared" si="26"/>
        <v>6286</v>
      </c>
      <c r="N107" s="36" t="s">
        <v>385</v>
      </c>
      <c r="O107" s="17"/>
      <c r="X107" s="94" t="s">
        <v>52</v>
      </c>
      <c r="Y107" s="94" t="s">
        <v>5</v>
      </c>
      <c r="Z107" s="196"/>
      <c r="AA107" s="95">
        <v>6791</v>
      </c>
      <c r="AB107" s="95">
        <f t="shared" si="33"/>
        <v>6791</v>
      </c>
      <c r="AC107" s="196"/>
    </row>
    <row r="108" spans="1:29" x14ac:dyDescent="0.3">
      <c r="A108" s="88" t="s">
        <v>128</v>
      </c>
      <c r="B108" s="88" t="s">
        <v>33</v>
      </c>
      <c r="C108" s="88" t="s">
        <v>459</v>
      </c>
      <c r="D108" s="89" t="s">
        <v>9</v>
      </c>
      <c r="E108" s="89" t="s">
        <v>5</v>
      </c>
      <c r="F108" s="89" t="str">
        <f t="shared" si="24"/>
        <v>Healthnet Classic Plan-2R Dubai 56-59 Male</v>
      </c>
      <c r="G108" s="19" t="str">
        <f t="shared" si="21"/>
        <v>Classic Plan-2R 56-59 Male</v>
      </c>
      <c r="H108" s="36">
        <f t="shared" si="34"/>
        <v>11654</v>
      </c>
      <c r="I108" s="151">
        <v>54.6</v>
      </c>
      <c r="J108" s="36">
        <v>8663</v>
      </c>
      <c r="K108" s="36">
        <f t="shared" si="35"/>
        <v>9529</v>
      </c>
      <c r="L108" s="36">
        <v>89</v>
      </c>
      <c r="M108" s="36">
        <f t="shared" si="26"/>
        <v>9673</v>
      </c>
      <c r="N108" s="36" t="s">
        <v>385</v>
      </c>
      <c r="O108" s="17"/>
      <c r="X108" s="94" t="s">
        <v>45</v>
      </c>
      <c r="Y108" s="94" t="s">
        <v>7</v>
      </c>
      <c r="Z108" s="196"/>
      <c r="AA108" s="95">
        <v>1698</v>
      </c>
      <c r="AB108" s="95">
        <f t="shared" si="33"/>
        <v>1698</v>
      </c>
      <c r="AC108" s="196"/>
    </row>
    <row r="109" spans="1:29" x14ac:dyDescent="0.3">
      <c r="A109" s="88" t="s">
        <v>128</v>
      </c>
      <c r="B109" s="88" t="s">
        <v>33</v>
      </c>
      <c r="C109" s="88" t="s">
        <v>459</v>
      </c>
      <c r="D109" s="90" t="s">
        <v>49</v>
      </c>
      <c r="E109" s="89" t="s">
        <v>5</v>
      </c>
      <c r="F109" s="89" t="str">
        <f t="shared" si="24"/>
        <v>Healthnet Classic Plan-2R Dubai 60-65 Male</v>
      </c>
      <c r="G109" s="19" t="str">
        <f t="shared" si="21"/>
        <v>Classic Plan-2R 60-65 Male</v>
      </c>
      <c r="H109" s="36">
        <f t="shared" si="34"/>
        <v>13771</v>
      </c>
      <c r="I109" s="151">
        <v>54.6</v>
      </c>
      <c r="J109" s="36">
        <v>10260</v>
      </c>
      <c r="K109" s="36">
        <f t="shared" si="35"/>
        <v>11286</v>
      </c>
      <c r="L109" s="36">
        <v>89</v>
      </c>
      <c r="M109" s="36">
        <f t="shared" si="26"/>
        <v>11430</v>
      </c>
      <c r="N109" s="36" t="s">
        <v>385</v>
      </c>
      <c r="O109" s="17"/>
      <c r="X109" s="94" t="s">
        <v>46</v>
      </c>
      <c r="Y109" s="94" t="s">
        <v>7</v>
      </c>
      <c r="Z109" s="196"/>
      <c r="AA109" s="95">
        <v>2912</v>
      </c>
      <c r="AB109" s="95">
        <f t="shared" si="33"/>
        <v>2912</v>
      </c>
      <c r="AC109" s="196"/>
    </row>
    <row r="110" spans="1:29" x14ac:dyDescent="0.3">
      <c r="A110" s="88" t="s">
        <v>128</v>
      </c>
      <c r="B110" s="88" t="s">
        <v>33</v>
      </c>
      <c r="C110" s="88" t="s">
        <v>459</v>
      </c>
      <c r="D110" s="89" t="s">
        <v>437</v>
      </c>
      <c r="E110" s="89" t="s">
        <v>5</v>
      </c>
      <c r="F110" s="89" t="str">
        <f t="shared" si="24"/>
        <v>Healthnet Classic Plan-2R Dubai 66-70 Male</v>
      </c>
      <c r="G110" s="19" t="str">
        <f t="shared" si="21"/>
        <v>Classic Plan-2R 66-70 Male</v>
      </c>
      <c r="H110" s="36">
        <f t="shared" si="34"/>
        <v>16519</v>
      </c>
      <c r="I110" s="151">
        <v>54.6</v>
      </c>
      <c r="J110" s="36">
        <v>12334</v>
      </c>
      <c r="K110" s="36">
        <f t="shared" si="35"/>
        <v>13567</v>
      </c>
      <c r="L110" s="36">
        <v>89</v>
      </c>
      <c r="M110" s="36">
        <f t="shared" si="26"/>
        <v>13711</v>
      </c>
      <c r="N110" s="36" t="s">
        <v>385</v>
      </c>
      <c r="O110" s="17"/>
      <c r="X110" s="94" t="s">
        <v>47</v>
      </c>
      <c r="Y110" s="94" t="s">
        <v>7</v>
      </c>
      <c r="Z110" s="196"/>
      <c r="AA110" s="95">
        <v>3428</v>
      </c>
      <c r="AB110" s="95">
        <f t="shared" si="33"/>
        <v>3428</v>
      </c>
      <c r="AC110" s="196"/>
    </row>
    <row r="111" spans="1:29" x14ac:dyDescent="0.3">
      <c r="A111" s="88" t="s">
        <v>128</v>
      </c>
      <c r="B111" s="88" t="s">
        <v>33</v>
      </c>
      <c r="C111" s="88" t="s">
        <v>459</v>
      </c>
      <c r="D111" s="89" t="s">
        <v>45</v>
      </c>
      <c r="E111" s="89" t="s">
        <v>7</v>
      </c>
      <c r="F111" s="89" t="str">
        <f t="shared" si="24"/>
        <v>Healthnet Classic Plan-2R Dubai 00-17 Female</v>
      </c>
      <c r="G111" s="19" t="str">
        <f t="shared" si="21"/>
        <v>Classic Plan-2R 00-17 Female</v>
      </c>
      <c r="H111" s="36">
        <f t="shared" si="34"/>
        <v>4598</v>
      </c>
      <c r="I111" s="151">
        <v>54.6</v>
      </c>
      <c r="J111" s="36">
        <v>3060</v>
      </c>
      <c r="K111" s="36">
        <f t="shared" ref="K111:K117" si="36">J111+(J111*20%)</f>
        <v>3672</v>
      </c>
      <c r="L111" s="36">
        <v>89</v>
      </c>
      <c r="M111" s="36">
        <f t="shared" si="26"/>
        <v>3816</v>
      </c>
      <c r="N111" s="36" t="s">
        <v>385</v>
      </c>
      <c r="O111" s="17"/>
      <c r="X111" s="94" t="s">
        <v>48</v>
      </c>
      <c r="Y111" s="94" t="s">
        <v>7</v>
      </c>
      <c r="Z111" s="196"/>
      <c r="AA111" s="95">
        <v>3932</v>
      </c>
      <c r="AB111" s="95">
        <f t="shared" si="33"/>
        <v>3932</v>
      </c>
      <c r="AC111" s="196"/>
    </row>
    <row r="112" spans="1:29" x14ac:dyDescent="0.3">
      <c r="A112" s="88" t="s">
        <v>128</v>
      </c>
      <c r="B112" s="88" t="s">
        <v>33</v>
      </c>
      <c r="C112" s="88" t="s">
        <v>459</v>
      </c>
      <c r="D112" s="90" t="s">
        <v>46</v>
      </c>
      <c r="E112" s="89" t="s">
        <v>7</v>
      </c>
      <c r="F112" s="89" t="str">
        <f t="shared" si="24"/>
        <v>Healthnet Classic Plan-2R Dubai 18-35 Female</v>
      </c>
      <c r="G112" s="19" t="str">
        <f t="shared" si="21"/>
        <v>Classic Plan-2R 18-35 Female</v>
      </c>
      <c r="H112" s="36">
        <f t="shared" si="34"/>
        <v>4827</v>
      </c>
      <c r="I112" s="151">
        <v>54.6</v>
      </c>
      <c r="J112" s="36">
        <v>3218</v>
      </c>
      <c r="K112" s="36">
        <f t="shared" si="36"/>
        <v>3862</v>
      </c>
      <c r="L112" s="36">
        <v>89</v>
      </c>
      <c r="M112" s="36">
        <f t="shared" si="26"/>
        <v>4006</v>
      </c>
      <c r="N112" s="36" t="s">
        <v>385</v>
      </c>
      <c r="O112" s="17"/>
      <c r="X112" s="94" t="s">
        <v>9</v>
      </c>
      <c r="Y112" s="94" t="s">
        <v>7</v>
      </c>
      <c r="Z112" s="196"/>
      <c r="AA112" s="95">
        <v>4366</v>
      </c>
      <c r="AB112" s="95">
        <f t="shared" si="33"/>
        <v>4366</v>
      </c>
      <c r="AC112" s="196"/>
    </row>
    <row r="113" spans="1:40" x14ac:dyDescent="0.3">
      <c r="A113" s="88" t="s">
        <v>128</v>
      </c>
      <c r="B113" s="88" t="s">
        <v>33</v>
      </c>
      <c r="C113" s="88" t="s">
        <v>459</v>
      </c>
      <c r="D113" s="89" t="s">
        <v>47</v>
      </c>
      <c r="E113" s="89" t="s">
        <v>7</v>
      </c>
      <c r="F113" s="89" t="str">
        <f t="shared" si="24"/>
        <v>Healthnet Classic Plan-2R Dubai 36-45 Female</v>
      </c>
      <c r="G113" s="19" t="str">
        <f t="shared" si="21"/>
        <v>Classic Plan-2R 36-45 Female</v>
      </c>
      <c r="H113" s="36">
        <f t="shared" si="34"/>
        <v>5786</v>
      </c>
      <c r="I113" s="151">
        <v>54.6</v>
      </c>
      <c r="J113" s="36">
        <v>3882</v>
      </c>
      <c r="K113" s="36">
        <f t="shared" si="36"/>
        <v>4658</v>
      </c>
      <c r="L113" s="36">
        <v>89</v>
      </c>
      <c r="M113" s="36">
        <f t="shared" si="26"/>
        <v>4802</v>
      </c>
      <c r="N113" s="36" t="s">
        <v>385</v>
      </c>
      <c r="O113" s="17"/>
      <c r="X113" s="94" t="s">
        <v>438</v>
      </c>
      <c r="Y113" s="94" t="s">
        <v>7</v>
      </c>
      <c r="Z113" s="196"/>
      <c r="AA113" s="95">
        <v>5126</v>
      </c>
      <c r="AB113" s="95">
        <f t="shared" si="33"/>
        <v>5126</v>
      </c>
      <c r="AC113" s="196"/>
    </row>
    <row r="114" spans="1:40" x14ac:dyDescent="0.3">
      <c r="A114" s="88" t="s">
        <v>128</v>
      </c>
      <c r="B114" s="88" t="s">
        <v>33</v>
      </c>
      <c r="C114" s="88" t="s">
        <v>459</v>
      </c>
      <c r="D114" s="90" t="s">
        <v>48</v>
      </c>
      <c r="E114" s="89" t="s">
        <v>7</v>
      </c>
      <c r="F114" s="89" t="str">
        <f t="shared" si="24"/>
        <v>Healthnet Classic Plan-2R Dubai 46-55 Female</v>
      </c>
      <c r="G114" s="19" t="str">
        <f t="shared" si="21"/>
        <v>Classic Plan-2R 46-55 Female</v>
      </c>
      <c r="H114" s="36">
        <f t="shared" si="34"/>
        <v>9693</v>
      </c>
      <c r="I114" s="151">
        <v>54.6</v>
      </c>
      <c r="J114" s="36">
        <v>6584</v>
      </c>
      <c r="K114" s="36">
        <f t="shared" si="36"/>
        <v>7901</v>
      </c>
      <c r="L114" s="36">
        <v>89</v>
      </c>
      <c r="M114" s="36">
        <f t="shared" si="26"/>
        <v>8045</v>
      </c>
      <c r="N114" s="36" t="s">
        <v>385</v>
      </c>
      <c r="O114" s="17"/>
      <c r="X114" s="94" t="s">
        <v>52</v>
      </c>
      <c r="Y114" s="94" t="s">
        <v>7</v>
      </c>
      <c r="Z114" s="197"/>
      <c r="AA114" s="95">
        <v>6791</v>
      </c>
      <c r="AB114" s="95">
        <f t="shared" si="33"/>
        <v>6791</v>
      </c>
      <c r="AC114" s="197"/>
    </row>
    <row r="115" spans="1:40" x14ac:dyDescent="0.3">
      <c r="A115" s="88" t="s">
        <v>128</v>
      </c>
      <c r="B115" s="88" t="s">
        <v>33</v>
      </c>
      <c r="C115" s="88" t="s">
        <v>459</v>
      </c>
      <c r="D115" s="89" t="s">
        <v>9</v>
      </c>
      <c r="E115" s="89" t="s">
        <v>7</v>
      </c>
      <c r="F115" s="89" t="str">
        <f t="shared" si="24"/>
        <v>Healthnet Classic Plan-2R Dubai 56-59 Female</v>
      </c>
      <c r="G115" s="19" t="str">
        <f t="shared" si="21"/>
        <v>Classic Plan-2R 56-59 Female</v>
      </c>
      <c r="H115" s="36">
        <f t="shared" si="34"/>
        <v>14200</v>
      </c>
      <c r="I115" s="151">
        <v>54.6</v>
      </c>
      <c r="J115" s="36">
        <v>9702</v>
      </c>
      <c r="K115" s="36">
        <f t="shared" si="36"/>
        <v>11642</v>
      </c>
      <c r="L115" s="36">
        <v>89</v>
      </c>
      <c r="M115" s="36">
        <f t="shared" si="26"/>
        <v>11786</v>
      </c>
      <c r="N115" s="36" t="s">
        <v>385</v>
      </c>
      <c r="O115" s="17"/>
    </row>
    <row r="116" spans="1:40" x14ac:dyDescent="0.3">
      <c r="A116" s="88" t="s">
        <v>128</v>
      </c>
      <c r="B116" s="88" t="s">
        <v>33</v>
      </c>
      <c r="C116" s="88" t="s">
        <v>459</v>
      </c>
      <c r="D116" s="90" t="s">
        <v>49</v>
      </c>
      <c r="E116" s="89" t="s">
        <v>7</v>
      </c>
      <c r="F116" s="89" t="str">
        <f t="shared" si="24"/>
        <v>Healthnet Classic Plan-2R Dubai 60-65 Female</v>
      </c>
      <c r="G116" s="19" t="str">
        <f t="shared" si="21"/>
        <v>Classic Plan-2R 60-65 Female</v>
      </c>
      <c r="H116" s="36">
        <f t="shared" si="34"/>
        <v>15007</v>
      </c>
      <c r="I116" s="151">
        <v>54.6</v>
      </c>
      <c r="J116" s="36">
        <v>10260</v>
      </c>
      <c r="K116" s="36">
        <f t="shared" si="36"/>
        <v>12312</v>
      </c>
      <c r="L116" s="36">
        <v>89</v>
      </c>
      <c r="M116" s="36">
        <f t="shared" si="26"/>
        <v>12456</v>
      </c>
      <c r="N116" s="36" t="s">
        <v>385</v>
      </c>
      <c r="O116" s="17"/>
    </row>
    <row r="117" spans="1:40" x14ac:dyDescent="0.3">
      <c r="A117" s="88" t="s">
        <v>128</v>
      </c>
      <c r="B117" s="88" t="s">
        <v>33</v>
      </c>
      <c r="C117" s="88" t="s">
        <v>459</v>
      </c>
      <c r="D117" s="89" t="s">
        <v>437</v>
      </c>
      <c r="E117" s="89" t="s">
        <v>7</v>
      </c>
      <c r="F117" s="89" t="str">
        <f t="shared" si="24"/>
        <v>Healthnet Classic Plan-2R Dubai 66-70 Female</v>
      </c>
      <c r="G117" s="19" t="str">
        <f t="shared" si="21"/>
        <v>Classic Plan-2R 66-70 Female</v>
      </c>
      <c r="H117" s="36">
        <f t="shared" si="34"/>
        <v>18006</v>
      </c>
      <c r="I117" s="151">
        <v>54.6</v>
      </c>
      <c r="J117" s="36">
        <v>12334</v>
      </c>
      <c r="K117" s="36">
        <f t="shared" si="36"/>
        <v>14801</v>
      </c>
      <c r="L117" s="36">
        <v>89</v>
      </c>
      <c r="M117" s="36">
        <f t="shared" si="26"/>
        <v>14945</v>
      </c>
      <c r="N117" s="36" t="s">
        <v>385</v>
      </c>
      <c r="O117" s="17"/>
      <c r="AG117" s="194" t="s">
        <v>383</v>
      </c>
      <c r="AH117" s="194"/>
      <c r="AI117" s="194" t="s">
        <v>385</v>
      </c>
      <c r="AJ117" s="194"/>
      <c r="AK117" s="194" t="s">
        <v>386</v>
      </c>
      <c r="AL117" s="194"/>
      <c r="AM117" s="194" t="s">
        <v>387</v>
      </c>
      <c r="AN117" s="194"/>
    </row>
    <row r="118" spans="1:40" x14ac:dyDescent="0.3">
      <c r="A118" s="88" t="s">
        <v>128</v>
      </c>
      <c r="B118" s="88" t="s">
        <v>33</v>
      </c>
      <c r="C118" s="88" t="s">
        <v>460</v>
      </c>
      <c r="D118" s="89" t="s">
        <v>45</v>
      </c>
      <c r="E118" s="89" t="s">
        <v>5</v>
      </c>
      <c r="F118" s="89" t="str">
        <f t="shared" si="24"/>
        <v>Healthnet Classic Plan-3R Dubai 00-17 Male</v>
      </c>
      <c r="G118" s="19" t="str">
        <f t="shared" ref="G118:G157" si="37">CONCATENATE(C118," ",D118," ",E118)</f>
        <v>Classic Plan-3R 00-17 Male</v>
      </c>
      <c r="H118" s="36">
        <f t="shared" si="34"/>
        <v>2798</v>
      </c>
      <c r="I118" s="151">
        <v>54.6</v>
      </c>
      <c r="J118" s="36">
        <v>1980</v>
      </c>
      <c r="K118" s="36">
        <f t="shared" ref="K118:K124" si="38">J118+(J118*10%)</f>
        <v>2178</v>
      </c>
      <c r="L118" s="36">
        <v>89</v>
      </c>
      <c r="M118" s="36">
        <f t="shared" si="26"/>
        <v>2322</v>
      </c>
      <c r="N118" s="36" t="s">
        <v>386</v>
      </c>
      <c r="O118" s="17"/>
      <c r="X118" s="18" t="s">
        <v>23</v>
      </c>
      <c r="Y118" s="18" t="s">
        <v>18</v>
      </c>
      <c r="Z118" s="18" t="s">
        <v>0</v>
      </c>
      <c r="AA118" s="18" t="s">
        <v>173</v>
      </c>
      <c r="AG118" s="100" t="s">
        <v>5</v>
      </c>
      <c r="AH118" s="100" t="s">
        <v>7</v>
      </c>
      <c r="AI118" s="100" t="s">
        <v>5</v>
      </c>
      <c r="AJ118" s="100" t="s">
        <v>7</v>
      </c>
      <c r="AK118" s="100" t="s">
        <v>5</v>
      </c>
      <c r="AL118" s="100" t="s">
        <v>7</v>
      </c>
      <c r="AM118" s="100" t="s">
        <v>5</v>
      </c>
      <c r="AN118" s="100" t="s">
        <v>7</v>
      </c>
    </row>
    <row r="119" spans="1:40" x14ac:dyDescent="0.3">
      <c r="A119" s="88" t="s">
        <v>128</v>
      </c>
      <c r="B119" s="88" t="s">
        <v>33</v>
      </c>
      <c r="C119" s="88" t="s">
        <v>460</v>
      </c>
      <c r="D119" s="90" t="s">
        <v>46</v>
      </c>
      <c r="E119" s="89" t="s">
        <v>5</v>
      </c>
      <c r="F119" s="89" t="str">
        <f t="shared" si="24"/>
        <v>Healthnet Classic Plan-3R Dubai 18-35 Male</v>
      </c>
      <c r="G119" s="19" t="str">
        <f t="shared" si="37"/>
        <v>Classic Plan-3R 18-35 Male</v>
      </c>
      <c r="H119" s="36">
        <f t="shared" si="34"/>
        <v>3190</v>
      </c>
      <c r="I119" s="151">
        <v>54.6</v>
      </c>
      <c r="J119" s="36">
        <v>2276</v>
      </c>
      <c r="K119" s="36">
        <f t="shared" si="38"/>
        <v>2504</v>
      </c>
      <c r="L119" s="36">
        <v>89</v>
      </c>
      <c r="M119" s="36">
        <f t="shared" si="26"/>
        <v>2648</v>
      </c>
      <c r="N119" s="36" t="s">
        <v>386</v>
      </c>
      <c r="O119" s="17"/>
      <c r="X119" s="94" t="s">
        <v>156</v>
      </c>
      <c r="Y119" s="94" t="s">
        <v>5</v>
      </c>
      <c r="Z119" s="193" t="s">
        <v>382</v>
      </c>
      <c r="AA119" s="82">
        <v>4966</v>
      </c>
      <c r="AG119" s="95">
        <v>4138</v>
      </c>
      <c r="AI119" s="95">
        <v>2813</v>
      </c>
    </row>
    <row r="120" spans="1:40" x14ac:dyDescent="0.3">
      <c r="A120" s="88" t="s">
        <v>128</v>
      </c>
      <c r="B120" s="88" t="s">
        <v>33</v>
      </c>
      <c r="C120" s="88" t="s">
        <v>460</v>
      </c>
      <c r="D120" s="89" t="s">
        <v>47</v>
      </c>
      <c r="E120" s="89" t="s">
        <v>5</v>
      </c>
      <c r="F120" s="89" t="str">
        <f t="shared" si="24"/>
        <v>Healthnet Classic Plan-3R Dubai 36-45 Male</v>
      </c>
      <c r="G120" s="19" t="str">
        <f t="shared" si="37"/>
        <v>Classic Plan-3R 36-45 Male</v>
      </c>
      <c r="H120" s="36">
        <f t="shared" si="34"/>
        <v>3670</v>
      </c>
      <c r="I120" s="151">
        <v>54.6</v>
      </c>
      <c r="J120" s="36">
        <v>2638</v>
      </c>
      <c r="K120" s="36">
        <f t="shared" si="38"/>
        <v>2902</v>
      </c>
      <c r="L120" s="36">
        <v>89</v>
      </c>
      <c r="M120" s="36">
        <f t="shared" si="26"/>
        <v>3046</v>
      </c>
      <c r="N120" s="36" t="s">
        <v>386</v>
      </c>
      <c r="O120" s="17"/>
      <c r="X120" s="94" t="s">
        <v>157</v>
      </c>
      <c r="Y120" s="94" t="s">
        <v>5</v>
      </c>
      <c r="Z120" s="193"/>
      <c r="AA120" s="82">
        <v>5898</v>
      </c>
      <c r="AG120" s="95">
        <v>4915</v>
      </c>
      <c r="AI120" s="95">
        <v>3323</v>
      </c>
    </row>
    <row r="121" spans="1:40" x14ac:dyDescent="0.3">
      <c r="A121" s="88" t="s">
        <v>128</v>
      </c>
      <c r="B121" s="88" t="s">
        <v>33</v>
      </c>
      <c r="C121" s="88" t="s">
        <v>460</v>
      </c>
      <c r="D121" s="90" t="s">
        <v>48</v>
      </c>
      <c r="E121" s="89" t="s">
        <v>5</v>
      </c>
      <c r="F121" s="89" t="str">
        <f t="shared" si="24"/>
        <v>Healthnet Classic Plan-3R Dubai 46-55 Male</v>
      </c>
      <c r="G121" s="19" t="str">
        <f t="shared" si="37"/>
        <v>Classic Plan-3R 46-55 Male</v>
      </c>
      <c r="H121" s="36">
        <f t="shared" si="34"/>
        <v>5312</v>
      </c>
      <c r="I121" s="151">
        <v>54.6</v>
      </c>
      <c r="J121" s="36">
        <v>3877</v>
      </c>
      <c r="K121" s="36">
        <f t="shared" si="38"/>
        <v>4265</v>
      </c>
      <c r="L121" s="36">
        <v>89</v>
      </c>
      <c r="M121" s="36">
        <f t="shared" si="26"/>
        <v>4409</v>
      </c>
      <c r="N121" s="36" t="s">
        <v>386</v>
      </c>
      <c r="O121" s="17"/>
      <c r="X121" s="94" t="s">
        <v>158</v>
      </c>
      <c r="Y121" s="94" t="s">
        <v>5</v>
      </c>
      <c r="Z121" s="193"/>
      <c r="AA121" s="82">
        <v>9998</v>
      </c>
      <c r="AG121" s="95">
        <v>8332</v>
      </c>
      <c r="AI121" s="95">
        <v>5570</v>
      </c>
    </row>
    <row r="122" spans="1:40" x14ac:dyDescent="0.3">
      <c r="A122" s="88" t="s">
        <v>128</v>
      </c>
      <c r="B122" s="88" t="s">
        <v>33</v>
      </c>
      <c r="C122" s="88" t="s">
        <v>460</v>
      </c>
      <c r="D122" s="89" t="s">
        <v>9</v>
      </c>
      <c r="E122" s="89" t="s">
        <v>5</v>
      </c>
      <c r="F122" s="89" t="str">
        <f t="shared" si="24"/>
        <v>Healthnet Classic Plan-3R Dubai 56-59 Male</v>
      </c>
      <c r="G122" s="19" t="str">
        <f t="shared" si="37"/>
        <v>Classic Plan-3R 56-59 Male</v>
      </c>
      <c r="H122" s="36">
        <f t="shared" si="34"/>
        <v>7261</v>
      </c>
      <c r="I122" s="151">
        <v>54.6</v>
      </c>
      <c r="J122" s="36">
        <v>5348</v>
      </c>
      <c r="K122" s="36">
        <f t="shared" si="38"/>
        <v>5883</v>
      </c>
      <c r="L122" s="36">
        <v>89</v>
      </c>
      <c r="M122" s="36">
        <f t="shared" si="26"/>
        <v>6027</v>
      </c>
      <c r="N122" s="36" t="s">
        <v>386</v>
      </c>
      <c r="O122" s="17"/>
      <c r="X122" s="94" t="s">
        <v>159</v>
      </c>
      <c r="Y122" s="94" t="s">
        <v>5</v>
      </c>
      <c r="Z122" s="193"/>
      <c r="AA122" s="82">
        <v>20060</v>
      </c>
      <c r="AG122" s="95">
        <v>16717</v>
      </c>
      <c r="AI122" s="95">
        <v>11028</v>
      </c>
    </row>
    <row r="123" spans="1:40" x14ac:dyDescent="0.3">
      <c r="A123" s="88" t="s">
        <v>128</v>
      </c>
      <c r="B123" s="88" t="s">
        <v>33</v>
      </c>
      <c r="C123" s="88" t="s">
        <v>460</v>
      </c>
      <c r="D123" s="90" t="s">
        <v>49</v>
      </c>
      <c r="E123" s="89" t="s">
        <v>5</v>
      </c>
      <c r="F123" s="89" t="str">
        <f t="shared" si="24"/>
        <v>Healthnet Classic Plan-3R Dubai 60-65 Male</v>
      </c>
      <c r="G123" s="19" t="str">
        <f t="shared" si="37"/>
        <v>Classic Plan-3R 60-65 Male</v>
      </c>
      <c r="H123" s="36">
        <f t="shared" si="34"/>
        <v>9878</v>
      </c>
      <c r="I123" s="151">
        <v>54.6</v>
      </c>
      <c r="J123" s="36">
        <v>7323</v>
      </c>
      <c r="K123" s="36">
        <f t="shared" si="38"/>
        <v>8055</v>
      </c>
      <c r="L123" s="36">
        <v>89</v>
      </c>
      <c r="M123" s="36">
        <f t="shared" si="26"/>
        <v>8199</v>
      </c>
      <c r="N123" s="36" t="s">
        <v>386</v>
      </c>
      <c r="O123" s="17"/>
      <c r="X123" s="94" t="s">
        <v>160</v>
      </c>
      <c r="Y123" s="94" t="s">
        <v>5</v>
      </c>
      <c r="Z123" s="193"/>
      <c r="AA123" s="82">
        <v>26078</v>
      </c>
      <c r="AG123" s="95">
        <v>21732</v>
      </c>
      <c r="AI123" s="95">
        <v>14336</v>
      </c>
    </row>
    <row r="124" spans="1:40" x14ac:dyDescent="0.3">
      <c r="A124" s="88" t="s">
        <v>128</v>
      </c>
      <c r="B124" s="88" t="s">
        <v>33</v>
      </c>
      <c r="C124" s="88" t="s">
        <v>460</v>
      </c>
      <c r="D124" s="89" t="s">
        <v>437</v>
      </c>
      <c r="E124" s="89" t="s">
        <v>5</v>
      </c>
      <c r="F124" s="89" t="str">
        <f t="shared" si="24"/>
        <v>Healthnet Classic Plan-3R Dubai 66-70 Male</v>
      </c>
      <c r="G124" s="19" t="str">
        <f t="shared" si="37"/>
        <v>Classic Plan-3R 66-70 Male</v>
      </c>
      <c r="H124" s="36">
        <f t="shared" si="34"/>
        <v>17724</v>
      </c>
      <c r="I124" s="151">
        <v>54.6</v>
      </c>
      <c r="J124" s="36">
        <v>13243</v>
      </c>
      <c r="K124" s="36">
        <f t="shared" si="38"/>
        <v>14567</v>
      </c>
      <c r="L124" s="36">
        <v>89</v>
      </c>
      <c r="M124" s="36">
        <f t="shared" si="26"/>
        <v>14711</v>
      </c>
      <c r="N124" s="36" t="s">
        <v>386</v>
      </c>
      <c r="O124" s="17"/>
      <c r="X124" s="94" t="s">
        <v>441</v>
      </c>
      <c r="Y124" s="94" t="s">
        <v>5</v>
      </c>
      <c r="Z124" s="193"/>
      <c r="AA124" s="82">
        <v>33902</v>
      </c>
      <c r="AG124" s="95">
        <v>28252</v>
      </c>
      <c r="AI124" s="95">
        <v>18636</v>
      </c>
    </row>
    <row r="125" spans="1:40" x14ac:dyDescent="0.3">
      <c r="A125" s="88" t="s">
        <v>128</v>
      </c>
      <c r="B125" s="88" t="s">
        <v>33</v>
      </c>
      <c r="C125" s="88" t="s">
        <v>460</v>
      </c>
      <c r="D125" s="89" t="s">
        <v>45</v>
      </c>
      <c r="E125" s="89" t="s">
        <v>7</v>
      </c>
      <c r="F125" s="89" t="str">
        <f t="shared" si="24"/>
        <v>Healthnet Classic Plan-3R Dubai 00-17 Female</v>
      </c>
      <c r="G125" s="19" t="str">
        <f t="shared" si="37"/>
        <v>Classic Plan-3R 00-17 Female</v>
      </c>
      <c r="H125" s="36">
        <f t="shared" si="34"/>
        <v>3180</v>
      </c>
      <c r="I125" s="151">
        <v>54.6</v>
      </c>
      <c r="J125" s="36">
        <v>2079</v>
      </c>
      <c r="K125" s="36">
        <f t="shared" ref="K125:K131" si="39">J125+(J125*20%)</f>
        <v>2495</v>
      </c>
      <c r="L125" s="36">
        <v>89</v>
      </c>
      <c r="M125" s="36">
        <f t="shared" si="26"/>
        <v>2639</v>
      </c>
      <c r="N125" s="36" t="s">
        <v>386</v>
      </c>
      <c r="O125" s="17"/>
      <c r="X125" s="94" t="s">
        <v>156</v>
      </c>
      <c r="Y125" s="94" t="s">
        <v>7</v>
      </c>
      <c r="Z125" s="193"/>
      <c r="AA125" s="82">
        <v>4966</v>
      </c>
      <c r="AF125" s="17" t="s">
        <v>442</v>
      </c>
      <c r="AG125" s="95">
        <v>4138</v>
      </c>
      <c r="AI125" s="95">
        <v>2813</v>
      </c>
    </row>
    <row r="126" spans="1:40" x14ac:dyDescent="0.3">
      <c r="A126" s="88" t="s">
        <v>128</v>
      </c>
      <c r="B126" s="88" t="s">
        <v>33</v>
      </c>
      <c r="C126" s="88" t="s">
        <v>460</v>
      </c>
      <c r="D126" s="90" t="s">
        <v>46</v>
      </c>
      <c r="E126" s="89" t="s">
        <v>7</v>
      </c>
      <c r="F126" s="89" t="str">
        <f t="shared" si="24"/>
        <v>Healthnet Classic Plan-3R Dubai 18-35 Female</v>
      </c>
      <c r="G126" s="19" t="str">
        <f t="shared" si="37"/>
        <v>Classic Plan-3R 18-35 Female</v>
      </c>
      <c r="H126" s="36">
        <f t="shared" si="34"/>
        <v>3628</v>
      </c>
      <c r="I126" s="151">
        <v>54.6</v>
      </c>
      <c r="J126" s="36">
        <v>2389</v>
      </c>
      <c r="K126" s="36">
        <f t="shared" si="39"/>
        <v>2867</v>
      </c>
      <c r="L126" s="36">
        <v>89</v>
      </c>
      <c r="M126" s="36">
        <f t="shared" si="26"/>
        <v>3011</v>
      </c>
      <c r="N126" s="36" t="s">
        <v>386</v>
      </c>
      <c r="O126" s="17"/>
      <c r="X126" s="94" t="s">
        <v>157</v>
      </c>
      <c r="Y126" s="94" t="s">
        <v>7</v>
      </c>
      <c r="Z126" s="193"/>
      <c r="AA126" s="82">
        <v>5898</v>
      </c>
      <c r="AG126" s="95">
        <v>4915</v>
      </c>
      <c r="AI126" s="95">
        <v>3323</v>
      </c>
    </row>
    <row r="127" spans="1:40" x14ac:dyDescent="0.3">
      <c r="A127" s="88" t="s">
        <v>128</v>
      </c>
      <c r="B127" s="88" t="s">
        <v>33</v>
      </c>
      <c r="C127" s="88" t="s">
        <v>460</v>
      </c>
      <c r="D127" s="89" t="s">
        <v>47</v>
      </c>
      <c r="E127" s="89" t="s">
        <v>7</v>
      </c>
      <c r="F127" s="89" t="str">
        <f t="shared" si="24"/>
        <v>Healthnet Classic Plan-3R Dubai 36-45 Female</v>
      </c>
      <c r="G127" s="19" t="str">
        <f t="shared" si="37"/>
        <v>Classic Plan-3R 36-45 Female</v>
      </c>
      <c r="H127" s="36">
        <f t="shared" si="34"/>
        <v>4178</v>
      </c>
      <c r="I127" s="151">
        <v>54.6</v>
      </c>
      <c r="J127" s="36">
        <v>2770</v>
      </c>
      <c r="K127" s="36">
        <f t="shared" si="39"/>
        <v>3324</v>
      </c>
      <c r="L127" s="36">
        <v>89</v>
      </c>
      <c r="M127" s="36">
        <f t="shared" si="26"/>
        <v>3468</v>
      </c>
      <c r="N127" s="36" t="s">
        <v>386</v>
      </c>
      <c r="O127" s="17"/>
      <c r="X127" s="94" t="s">
        <v>158</v>
      </c>
      <c r="Y127" s="94" t="s">
        <v>7</v>
      </c>
      <c r="Z127" s="193"/>
      <c r="AA127" s="82">
        <v>9998</v>
      </c>
      <c r="AG127" s="95">
        <v>8332</v>
      </c>
      <c r="AI127" s="95">
        <v>5570</v>
      </c>
    </row>
    <row r="128" spans="1:40" x14ac:dyDescent="0.3">
      <c r="A128" s="88" t="s">
        <v>128</v>
      </c>
      <c r="B128" s="88" t="s">
        <v>33</v>
      </c>
      <c r="C128" s="88" t="s">
        <v>460</v>
      </c>
      <c r="D128" s="90" t="s">
        <v>48</v>
      </c>
      <c r="E128" s="89" t="s">
        <v>7</v>
      </c>
      <c r="F128" s="89" t="str">
        <f t="shared" si="24"/>
        <v>Healthnet Classic Plan-3R Dubai 46-55 Female</v>
      </c>
      <c r="G128" s="19" t="str">
        <f t="shared" si="37"/>
        <v>Classic Plan-3R 46-55 Female</v>
      </c>
      <c r="H128" s="36">
        <f t="shared" si="34"/>
        <v>6966</v>
      </c>
      <c r="I128" s="151">
        <v>54.6</v>
      </c>
      <c r="J128" s="36">
        <v>4698</v>
      </c>
      <c r="K128" s="36">
        <f t="shared" si="39"/>
        <v>5638</v>
      </c>
      <c r="L128" s="36">
        <v>89</v>
      </c>
      <c r="M128" s="36">
        <f t="shared" si="26"/>
        <v>5782</v>
      </c>
      <c r="N128" s="36" t="s">
        <v>386</v>
      </c>
      <c r="O128" s="17"/>
      <c r="X128" s="94" t="s">
        <v>159</v>
      </c>
      <c r="Y128" s="94" t="s">
        <v>7</v>
      </c>
      <c r="Z128" s="193"/>
      <c r="AA128" s="82">
        <v>20060</v>
      </c>
      <c r="AG128" s="95">
        <v>16717</v>
      </c>
      <c r="AI128" s="95">
        <v>11028</v>
      </c>
    </row>
    <row r="129" spans="1:35" x14ac:dyDescent="0.3">
      <c r="A129" s="88" t="s">
        <v>128</v>
      </c>
      <c r="B129" s="88" t="s">
        <v>33</v>
      </c>
      <c r="C129" s="88" t="s">
        <v>460</v>
      </c>
      <c r="D129" s="89" t="s">
        <v>9</v>
      </c>
      <c r="E129" s="89" t="s">
        <v>7</v>
      </c>
      <c r="F129" s="89" t="str">
        <f t="shared" si="24"/>
        <v>Healthnet Classic Plan-3R Dubai 56-59 Female</v>
      </c>
      <c r="G129" s="19" t="str">
        <f t="shared" si="37"/>
        <v>Classic Plan-3R 56-59 Female</v>
      </c>
      <c r="H129" s="36">
        <f t="shared" si="34"/>
        <v>8690</v>
      </c>
      <c r="I129" s="151">
        <v>54.6</v>
      </c>
      <c r="J129" s="36">
        <v>5891</v>
      </c>
      <c r="K129" s="36">
        <f t="shared" si="39"/>
        <v>7069</v>
      </c>
      <c r="L129" s="36">
        <v>89</v>
      </c>
      <c r="M129" s="36">
        <f t="shared" si="26"/>
        <v>7213</v>
      </c>
      <c r="N129" s="36" t="s">
        <v>386</v>
      </c>
      <c r="O129" s="17"/>
      <c r="X129" s="94" t="s">
        <v>160</v>
      </c>
      <c r="Y129" s="94" t="s">
        <v>7</v>
      </c>
      <c r="Z129" s="193"/>
      <c r="AA129" s="82">
        <v>26078</v>
      </c>
      <c r="AG129" s="95">
        <v>21732</v>
      </c>
      <c r="AI129" s="95">
        <v>14336</v>
      </c>
    </row>
    <row r="130" spans="1:35" x14ac:dyDescent="0.3">
      <c r="A130" s="88" t="s">
        <v>128</v>
      </c>
      <c r="B130" s="88" t="s">
        <v>33</v>
      </c>
      <c r="C130" s="88" t="s">
        <v>460</v>
      </c>
      <c r="D130" s="90" t="s">
        <v>49</v>
      </c>
      <c r="E130" s="89" t="s">
        <v>7</v>
      </c>
      <c r="F130" s="89" t="str">
        <f t="shared" si="24"/>
        <v>Healthnet Classic Plan-3R Dubai 60-65 Female</v>
      </c>
      <c r="G130" s="19" t="str">
        <f t="shared" si="37"/>
        <v>Classic Plan-3R 60-65 Female</v>
      </c>
      <c r="H130" s="36">
        <f t="shared" si="34"/>
        <v>10761</v>
      </c>
      <c r="I130" s="151">
        <v>54.6</v>
      </c>
      <c r="J130" s="36">
        <v>7323</v>
      </c>
      <c r="K130" s="36">
        <f t="shared" si="39"/>
        <v>8788</v>
      </c>
      <c r="L130" s="36">
        <v>89</v>
      </c>
      <c r="M130" s="36">
        <f t="shared" si="26"/>
        <v>8932</v>
      </c>
      <c r="N130" s="36" t="s">
        <v>386</v>
      </c>
      <c r="O130" s="17"/>
      <c r="X130" s="94" t="s">
        <v>441</v>
      </c>
      <c r="Y130" s="94" t="s">
        <v>7</v>
      </c>
      <c r="Z130" s="193"/>
      <c r="AA130" s="82">
        <v>33902</v>
      </c>
      <c r="AG130" s="95">
        <v>28252</v>
      </c>
      <c r="AI130" s="95">
        <v>18636</v>
      </c>
    </row>
    <row r="131" spans="1:35" x14ac:dyDescent="0.3">
      <c r="A131" s="88" t="s">
        <v>128</v>
      </c>
      <c r="B131" s="88" t="s">
        <v>33</v>
      </c>
      <c r="C131" s="88" t="s">
        <v>460</v>
      </c>
      <c r="D131" s="89" t="s">
        <v>437</v>
      </c>
      <c r="E131" s="89" t="s">
        <v>7</v>
      </c>
      <c r="F131" s="89" t="str">
        <f t="shared" si="24"/>
        <v>Healthnet Classic Plan-3R Dubai 66-70 Female</v>
      </c>
      <c r="G131" s="19" t="str">
        <f t="shared" si="37"/>
        <v>Classic Plan-3R 66-70 Female</v>
      </c>
      <c r="H131" s="36">
        <f t="shared" si="34"/>
        <v>14200</v>
      </c>
      <c r="I131" s="151">
        <v>54.6</v>
      </c>
      <c r="J131" s="36">
        <v>9702</v>
      </c>
      <c r="K131" s="36">
        <f t="shared" si="39"/>
        <v>11642</v>
      </c>
      <c r="L131" s="36">
        <v>89</v>
      </c>
      <c r="M131" s="36">
        <f t="shared" si="26"/>
        <v>11786</v>
      </c>
      <c r="N131" s="36" t="s">
        <v>386</v>
      </c>
      <c r="O131" s="17"/>
      <c r="X131" s="94" t="s">
        <v>156</v>
      </c>
      <c r="Y131" s="94" t="s">
        <v>5</v>
      </c>
      <c r="Z131" s="193" t="s">
        <v>383</v>
      </c>
      <c r="AA131" s="95">
        <v>4138</v>
      </c>
    </row>
    <row r="132" spans="1:35" x14ac:dyDescent="0.3">
      <c r="A132" s="88" t="s">
        <v>128</v>
      </c>
      <c r="B132" s="88" t="s">
        <v>33</v>
      </c>
      <c r="C132" s="88" t="s">
        <v>461</v>
      </c>
      <c r="D132" s="89" t="s">
        <v>45</v>
      </c>
      <c r="E132" s="89" t="s">
        <v>5</v>
      </c>
      <c r="F132" s="89" t="str">
        <f t="shared" si="24"/>
        <v>Healthnet Classic Plan-4R Dubai 00-17 Male</v>
      </c>
      <c r="G132" s="19" t="str">
        <f t="shared" si="37"/>
        <v>Classic Plan-4R 00-17 Male</v>
      </c>
      <c r="H132" s="36">
        <f t="shared" si="34"/>
        <v>2011</v>
      </c>
      <c r="I132" s="151">
        <v>54.6</v>
      </c>
      <c r="J132" s="36">
        <v>1386</v>
      </c>
      <c r="K132" s="36">
        <f t="shared" ref="K132:K138" si="40">J132+(J132*10%)</f>
        <v>1525</v>
      </c>
      <c r="L132" s="36">
        <v>89</v>
      </c>
      <c r="M132" s="36">
        <f t="shared" si="26"/>
        <v>1669</v>
      </c>
      <c r="N132" s="36" t="s">
        <v>387</v>
      </c>
      <c r="O132" s="17"/>
      <c r="X132" s="94" t="s">
        <v>157</v>
      </c>
      <c r="Y132" s="94" t="s">
        <v>5</v>
      </c>
      <c r="Z132" s="193"/>
      <c r="AA132" s="95">
        <v>4915</v>
      </c>
    </row>
    <row r="133" spans="1:35" x14ac:dyDescent="0.3">
      <c r="A133" s="88" t="s">
        <v>128</v>
      </c>
      <c r="B133" s="88" t="s">
        <v>33</v>
      </c>
      <c r="C133" s="88" t="s">
        <v>461</v>
      </c>
      <c r="D133" s="90" t="s">
        <v>46</v>
      </c>
      <c r="E133" s="89" t="s">
        <v>5</v>
      </c>
      <c r="F133" s="89" t="str">
        <f t="shared" si="24"/>
        <v>Healthnet Classic Plan-4R Dubai 18-35 Male</v>
      </c>
      <c r="G133" s="19" t="str">
        <f t="shared" si="37"/>
        <v>Classic Plan-4R 18-35 Male</v>
      </c>
      <c r="H133" s="36">
        <f t="shared" si="34"/>
        <v>2284</v>
      </c>
      <c r="I133" s="151">
        <v>54.6</v>
      </c>
      <c r="J133" s="36">
        <v>1593</v>
      </c>
      <c r="K133" s="36">
        <f t="shared" si="40"/>
        <v>1752</v>
      </c>
      <c r="L133" s="36">
        <v>89</v>
      </c>
      <c r="M133" s="36">
        <f t="shared" si="26"/>
        <v>1896</v>
      </c>
      <c r="N133" s="36" t="s">
        <v>387</v>
      </c>
      <c r="O133" s="17"/>
      <c r="X133" s="94" t="s">
        <v>158</v>
      </c>
      <c r="Y133" s="94" t="s">
        <v>5</v>
      </c>
      <c r="Z133" s="193"/>
      <c r="AA133" s="95">
        <v>8332</v>
      </c>
    </row>
    <row r="134" spans="1:35" x14ac:dyDescent="0.3">
      <c r="A134" s="88" t="s">
        <v>128</v>
      </c>
      <c r="B134" s="88" t="s">
        <v>33</v>
      </c>
      <c r="C134" s="88" t="s">
        <v>461</v>
      </c>
      <c r="D134" s="89" t="s">
        <v>47</v>
      </c>
      <c r="E134" s="89" t="s">
        <v>5</v>
      </c>
      <c r="F134" s="89" t="str">
        <f t="shared" ref="F134:F211" si="41">+CONCATENATE(A134," ",C134," ",B134," ",D134," ",E134)</f>
        <v>Healthnet Classic Plan-4R Dubai 36-45 Male</v>
      </c>
      <c r="G134" s="19" t="str">
        <f t="shared" si="37"/>
        <v>Classic Plan-4R 36-45 Male</v>
      </c>
      <c r="H134" s="36">
        <f t="shared" si="34"/>
        <v>2622</v>
      </c>
      <c r="I134" s="151">
        <v>54.6</v>
      </c>
      <c r="J134" s="36">
        <v>1847</v>
      </c>
      <c r="K134" s="36">
        <f t="shared" si="40"/>
        <v>2032</v>
      </c>
      <c r="L134" s="36">
        <v>89</v>
      </c>
      <c r="M134" s="36">
        <f t="shared" si="26"/>
        <v>2176</v>
      </c>
      <c r="N134" s="36" t="s">
        <v>387</v>
      </c>
      <c r="O134" s="17"/>
      <c r="X134" s="94" t="s">
        <v>159</v>
      </c>
      <c r="Y134" s="94" t="s">
        <v>5</v>
      </c>
      <c r="Z134" s="193"/>
      <c r="AA134" s="95">
        <v>16717</v>
      </c>
    </row>
    <row r="135" spans="1:35" x14ac:dyDescent="0.3">
      <c r="A135" s="88" t="s">
        <v>128</v>
      </c>
      <c r="B135" s="88" t="s">
        <v>33</v>
      </c>
      <c r="C135" s="88" t="s">
        <v>461</v>
      </c>
      <c r="D135" s="90" t="s">
        <v>48</v>
      </c>
      <c r="E135" s="89" t="s">
        <v>5</v>
      </c>
      <c r="F135" s="89" t="str">
        <f t="shared" si="41"/>
        <v>Healthnet Classic Plan-4R Dubai 46-55 Male</v>
      </c>
      <c r="G135" s="19" t="str">
        <f t="shared" si="37"/>
        <v>Classic Plan-4R 46-55 Male</v>
      </c>
      <c r="H135" s="36">
        <f t="shared" ref="H135:H192" si="42">ROUND(M135/(1-$H$4),0)</f>
        <v>4499</v>
      </c>
      <c r="I135" s="151">
        <v>54.6</v>
      </c>
      <c r="J135" s="36">
        <v>3264</v>
      </c>
      <c r="K135" s="36">
        <f t="shared" si="40"/>
        <v>3590</v>
      </c>
      <c r="L135" s="36">
        <v>89</v>
      </c>
      <c r="M135" s="36">
        <f t="shared" ref="M135:M198" si="43">L135+K135+I135</f>
        <v>3734</v>
      </c>
      <c r="N135" s="36" t="s">
        <v>387</v>
      </c>
      <c r="O135" s="17"/>
      <c r="X135" s="94" t="s">
        <v>160</v>
      </c>
      <c r="Y135" s="94" t="s">
        <v>5</v>
      </c>
      <c r="Z135" s="193"/>
      <c r="AA135" s="95">
        <v>21732</v>
      </c>
    </row>
    <row r="136" spans="1:35" x14ac:dyDescent="0.3">
      <c r="A136" s="88" t="s">
        <v>128</v>
      </c>
      <c r="B136" s="88" t="s">
        <v>33</v>
      </c>
      <c r="C136" s="88" t="s">
        <v>461</v>
      </c>
      <c r="D136" s="89" t="s">
        <v>9</v>
      </c>
      <c r="E136" s="89" t="s">
        <v>5</v>
      </c>
      <c r="F136" s="89" t="str">
        <f t="shared" si="41"/>
        <v>Healthnet Classic Plan-4R Dubai 56-59 Male</v>
      </c>
      <c r="G136" s="19" t="str">
        <f t="shared" si="37"/>
        <v>Classic Plan-4R 56-59 Male</v>
      </c>
      <c r="H136" s="36">
        <f t="shared" si="42"/>
        <v>5135</v>
      </c>
      <c r="I136" s="151">
        <v>54.6</v>
      </c>
      <c r="J136" s="36">
        <v>3744</v>
      </c>
      <c r="K136" s="36">
        <f t="shared" si="40"/>
        <v>4118</v>
      </c>
      <c r="L136" s="36">
        <v>89</v>
      </c>
      <c r="M136" s="36">
        <f t="shared" si="43"/>
        <v>4262</v>
      </c>
      <c r="N136" s="36" t="s">
        <v>387</v>
      </c>
      <c r="O136" s="17"/>
      <c r="X136" s="94" t="s">
        <v>441</v>
      </c>
      <c r="Y136" s="94" t="s">
        <v>5</v>
      </c>
      <c r="Z136" s="193"/>
      <c r="AA136" s="95">
        <v>28252</v>
      </c>
    </row>
    <row r="137" spans="1:35" x14ac:dyDescent="0.3">
      <c r="A137" s="88" t="s">
        <v>128</v>
      </c>
      <c r="B137" s="88" t="s">
        <v>33</v>
      </c>
      <c r="C137" s="88" t="s">
        <v>461</v>
      </c>
      <c r="D137" s="90" t="s">
        <v>49</v>
      </c>
      <c r="E137" s="89" t="s">
        <v>5</v>
      </c>
      <c r="F137" s="89" t="str">
        <f t="shared" si="41"/>
        <v>Healthnet Classic Plan-4R Dubai 60-65 Male</v>
      </c>
      <c r="G137" s="19" t="str">
        <f t="shared" si="37"/>
        <v>Classic Plan-4R 60-65 Male</v>
      </c>
      <c r="H137" s="36">
        <f t="shared" si="42"/>
        <v>6967</v>
      </c>
      <c r="I137" s="151">
        <v>54.6</v>
      </c>
      <c r="J137" s="36">
        <v>5126</v>
      </c>
      <c r="K137" s="36">
        <f t="shared" si="40"/>
        <v>5639</v>
      </c>
      <c r="L137" s="36">
        <v>89</v>
      </c>
      <c r="M137" s="36">
        <f t="shared" si="43"/>
        <v>5783</v>
      </c>
      <c r="N137" s="36" t="s">
        <v>387</v>
      </c>
      <c r="O137" s="17"/>
      <c r="X137" s="94" t="s">
        <v>156</v>
      </c>
      <c r="Y137" s="94" t="s">
        <v>7</v>
      </c>
      <c r="Z137" s="193"/>
      <c r="AA137" s="95">
        <v>4138</v>
      </c>
    </row>
    <row r="138" spans="1:35" x14ac:dyDescent="0.3">
      <c r="A138" s="88" t="s">
        <v>128</v>
      </c>
      <c r="B138" s="88" t="s">
        <v>33</v>
      </c>
      <c r="C138" s="88" t="s">
        <v>461</v>
      </c>
      <c r="D138" s="89" t="s">
        <v>437</v>
      </c>
      <c r="E138" s="89" t="s">
        <v>5</v>
      </c>
      <c r="F138" s="89" t="str">
        <f t="shared" si="41"/>
        <v>Healthnet Classic Plan-4R Dubai 66-70 Male</v>
      </c>
      <c r="G138" s="19" t="str">
        <f t="shared" si="37"/>
        <v>Classic Plan-4R 66-70 Male</v>
      </c>
      <c r="H138" s="36">
        <f t="shared" si="42"/>
        <v>9173</v>
      </c>
      <c r="I138" s="151">
        <v>54.6</v>
      </c>
      <c r="J138" s="36">
        <v>6791</v>
      </c>
      <c r="K138" s="36">
        <f t="shared" si="40"/>
        <v>7470</v>
      </c>
      <c r="L138" s="36">
        <v>89</v>
      </c>
      <c r="M138" s="36">
        <f t="shared" si="43"/>
        <v>7614</v>
      </c>
      <c r="N138" s="36" t="s">
        <v>387</v>
      </c>
      <c r="O138" s="17"/>
      <c r="X138" s="94" t="s">
        <v>157</v>
      </c>
      <c r="Y138" s="94" t="s">
        <v>7</v>
      </c>
      <c r="Z138" s="193"/>
      <c r="AA138" s="95">
        <v>4915</v>
      </c>
    </row>
    <row r="139" spans="1:35" x14ac:dyDescent="0.3">
      <c r="A139" s="88" t="s">
        <v>128</v>
      </c>
      <c r="B139" s="88" t="s">
        <v>33</v>
      </c>
      <c r="C139" s="88" t="s">
        <v>461</v>
      </c>
      <c r="D139" s="89" t="s">
        <v>45</v>
      </c>
      <c r="E139" s="89" t="s">
        <v>7</v>
      </c>
      <c r="F139" s="89" t="str">
        <f t="shared" si="41"/>
        <v>Healthnet Classic Plan-4R Dubai 00-17 Female</v>
      </c>
      <c r="G139" s="19" t="str">
        <f t="shared" si="37"/>
        <v>Classic Plan-4R 00-17 Female</v>
      </c>
      <c r="H139" s="36">
        <f t="shared" si="42"/>
        <v>2277</v>
      </c>
      <c r="I139" s="151">
        <v>54.6</v>
      </c>
      <c r="J139" s="36">
        <v>1455</v>
      </c>
      <c r="K139" s="36">
        <f t="shared" ref="K139:K145" si="44">J139+(J139*20%)</f>
        <v>1746</v>
      </c>
      <c r="L139" s="36">
        <v>89</v>
      </c>
      <c r="M139" s="36">
        <f t="shared" si="43"/>
        <v>1890</v>
      </c>
      <c r="N139" s="36" t="s">
        <v>387</v>
      </c>
      <c r="O139" s="17"/>
      <c r="X139" s="94" t="s">
        <v>158</v>
      </c>
      <c r="Y139" s="94" t="s">
        <v>7</v>
      </c>
      <c r="Z139" s="193"/>
      <c r="AA139" s="95">
        <v>8332</v>
      </c>
    </row>
    <row r="140" spans="1:35" x14ac:dyDescent="0.3">
      <c r="A140" s="88" t="s">
        <v>128</v>
      </c>
      <c r="B140" s="88" t="s">
        <v>33</v>
      </c>
      <c r="C140" s="88" t="s">
        <v>461</v>
      </c>
      <c r="D140" s="90" t="s">
        <v>46</v>
      </c>
      <c r="E140" s="89" t="s">
        <v>7</v>
      </c>
      <c r="F140" s="89" t="str">
        <f t="shared" si="41"/>
        <v>Healthnet Classic Plan-4R Dubai 18-35 Female</v>
      </c>
      <c r="G140" s="19" t="str">
        <f t="shared" si="37"/>
        <v>Classic Plan-4R 18-35 Female</v>
      </c>
      <c r="H140" s="36">
        <f t="shared" si="42"/>
        <v>2807</v>
      </c>
      <c r="I140" s="151">
        <v>54.6</v>
      </c>
      <c r="J140" s="36">
        <v>1822</v>
      </c>
      <c r="K140" s="36">
        <f t="shared" si="44"/>
        <v>2186</v>
      </c>
      <c r="L140" s="36">
        <v>89</v>
      </c>
      <c r="M140" s="36">
        <f t="shared" si="43"/>
        <v>2330</v>
      </c>
      <c r="N140" s="36" t="s">
        <v>387</v>
      </c>
      <c r="O140" s="17"/>
      <c r="X140" s="94" t="s">
        <v>159</v>
      </c>
      <c r="Y140" s="94" t="s">
        <v>7</v>
      </c>
      <c r="Z140" s="193"/>
      <c r="AA140" s="95">
        <v>16717</v>
      </c>
    </row>
    <row r="141" spans="1:35" x14ac:dyDescent="0.3">
      <c r="A141" s="88" t="s">
        <v>128</v>
      </c>
      <c r="B141" s="88" t="s">
        <v>33</v>
      </c>
      <c r="C141" s="88" t="s">
        <v>461</v>
      </c>
      <c r="D141" s="89" t="s">
        <v>47</v>
      </c>
      <c r="E141" s="89" t="s">
        <v>7</v>
      </c>
      <c r="F141" s="89" t="str">
        <f t="shared" si="41"/>
        <v>Healthnet Classic Plan-4R Dubai 36-45 Female</v>
      </c>
      <c r="G141" s="19" t="str">
        <f t="shared" si="37"/>
        <v>Classic Plan-4R 36-45 Female</v>
      </c>
      <c r="H141" s="36">
        <f t="shared" si="42"/>
        <v>3555</v>
      </c>
      <c r="I141" s="151">
        <v>54.6</v>
      </c>
      <c r="J141" s="36">
        <v>2339</v>
      </c>
      <c r="K141" s="36">
        <f t="shared" si="44"/>
        <v>2807</v>
      </c>
      <c r="L141" s="36">
        <v>89</v>
      </c>
      <c r="M141" s="36">
        <f t="shared" si="43"/>
        <v>2951</v>
      </c>
      <c r="N141" s="36" t="s">
        <v>387</v>
      </c>
      <c r="O141" s="17"/>
      <c r="X141" s="94" t="s">
        <v>160</v>
      </c>
      <c r="Y141" s="94" t="s">
        <v>7</v>
      </c>
      <c r="Z141" s="193"/>
      <c r="AA141" s="95">
        <v>21732</v>
      </c>
    </row>
    <row r="142" spans="1:35" x14ac:dyDescent="0.3">
      <c r="A142" s="88" t="s">
        <v>128</v>
      </c>
      <c r="B142" s="88" t="s">
        <v>33</v>
      </c>
      <c r="C142" s="88" t="s">
        <v>461</v>
      </c>
      <c r="D142" s="90" t="s">
        <v>48</v>
      </c>
      <c r="E142" s="89" t="s">
        <v>7</v>
      </c>
      <c r="F142" s="89" t="str">
        <f t="shared" si="41"/>
        <v>Healthnet Classic Plan-4R Dubai 46-55 Female</v>
      </c>
      <c r="G142" s="19" t="str">
        <f t="shared" si="37"/>
        <v>Classic Plan-4R 46-55 Female</v>
      </c>
      <c r="H142" s="36">
        <f t="shared" si="42"/>
        <v>5507</v>
      </c>
      <c r="I142" s="151">
        <v>54.6</v>
      </c>
      <c r="J142" s="36">
        <v>3689</v>
      </c>
      <c r="K142" s="36">
        <f t="shared" si="44"/>
        <v>4427</v>
      </c>
      <c r="L142" s="36">
        <v>89</v>
      </c>
      <c r="M142" s="36">
        <f t="shared" si="43"/>
        <v>4571</v>
      </c>
      <c r="N142" s="36" t="s">
        <v>387</v>
      </c>
      <c r="O142" s="17"/>
      <c r="X142" s="94" t="s">
        <v>441</v>
      </c>
      <c r="Y142" s="94" t="s">
        <v>7</v>
      </c>
      <c r="Z142" s="193"/>
      <c r="AA142" s="95">
        <v>28252</v>
      </c>
    </row>
    <row r="143" spans="1:35" x14ac:dyDescent="0.3">
      <c r="A143" s="88" t="s">
        <v>128</v>
      </c>
      <c r="B143" s="88" t="s">
        <v>33</v>
      </c>
      <c r="C143" s="88" t="s">
        <v>461</v>
      </c>
      <c r="D143" s="89" t="s">
        <v>9</v>
      </c>
      <c r="E143" s="89" t="s">
        <v>7</v>
      </c>
      <c r="F143" s="89" t="str">
        <f t="shared" si="41"/>
        <v>Healthnet Classic Plan-4R Dubai 56-59 Female</v>
      </c>
      <c r="G143" s="19" t="str">
        <f t="shared" si="37"/>
        <v>Classic Plan-4R 56-59 Female</v>
      </c>
      <c r="H143" s="36">
        <f t="shared" si="42"/>
        <v>6136</v>
      </c>
      <c r="I143" s="151">
        <v>54.6</v>
      </c>
      <c r="J143" s="36">
        <v>4124</v>
      </c>
      <c r="K143" s="36">
        <f t="shared" si="44"/>
        <v>4949</v>
      </c>
      <c r="L143" s="36">
        <v>89</v>
      </c>
      <c r="M143" s="36">
        <f t="shared" si="43"/>
        <v>5093</v>
      </c>
      <c r="N143" s="36" t="s">
        <v>387</v>
      </c>
      <c r="O143" s="17"/>
      <c r="X143" s="94" t="s">
        <v>156</v>
      </c>
      <c r="Y143" s="94" t="s">
        <v>5</v>
      </c>
      <c r="Z143" s="193" t="s">
        <v>384</v>
      </c>
      <c r="AA143" s="82">
        <v>3517</v>
      </c>
    </row>
    <row r="144" spans="1:35" x14ac:dyDescent="0.3">
      <c r="A144" s="88" t="s">
        <v>128</v>
      </c>
      <c r="B144" s="88" t="s">
        <v>33</v>
      </c>
      <c r="C144" s="88" t="s">
        <v>461</v>
      </c>
      <c r="D144" s="90" t="s">
        <v>49</v>
      </c>
      <c r="E144" s="89" t="s">
        <v>7</v>
      </c>
      <c r="F144" s="89" t="str">
        <f t="shared" si="41"/>
        <v>Healthnet Classic Plan-4R Dubai 60-65 Female</v>
      </c>
      <c r="G144" s="19" t="str">
        <f t="shared" si="37"/>
        <v>Classic Plan-4R 60-65 Female</v>
      </c>
      <c r="H144" s="36">
        <f t="shared" si="42"/>
        <v>7584</v>
      </c>
      <c r="I144" s="151">
        <v>54.6</v>
      </c>
      <c r="J144" s="36">
        <v>5126</v>
      </c>
      <c r="K144" s="36">
        <f t="shared" si="44"/>
        <v>6151</v>
      </c>
      <c r="L144" s="36">
        <v>89</v>
      </c>
      <c r="M144" s="36">
        <f t="shared" si="43"/>
        <v>6295</v>
      </c>
      <c r="N144" s="36" t="s">
        <v>387</v>
      </c>
      <c r="O144" s="17"/>
      <c r="X144" s="94" t="s">
        <v>157</v>
      </c>
      <c r="Y144" s="94" t="s">
        <v>5</v>
      </c>
      <c r="Z144" s="193"/>
      <c r="AA144" s="82">
        <v>4178</v>
      </c>
    </row>
    <row r="145" spans="1:27" x14ac:dyDescent="0.3">
      <c r="A145" s="88" t="s">
        <v>128</v>
      </c>
      <c r="B145" s="88" t="s">
        <v>33</v>
      </c>
      <c r="C145" s="88" t="s">
        <v>461</v>
      </c>
      <c r="D145" s="89" t="s">
        <v>437</v>
      </c>
      <c r="E145" s="89" t="s">
        <v>7</v>
      </c>
      <c r="F145" s="89" t="str">
        <f t="shared" si="41"/>
        <v>Healthnet Classic Plan-4R Dubai 66-70 Female</v>
      </c>
      <c r="G145" s="19" t="str">
        <f t="shared" si="37"/>
        <v>Classic Plan-4R 66-70 Female</v>
      </c>
      <c r="H145" s="36">
        <f t="shared" si="42"/>
        <v>9992</v>
      </c>
      <c r="I145" s="151">
        <v>54.6</v>
      </c>
      <c r="J145" s="36">
        <v>6791</v>
      </c>
      <c r="K145" s="36">
        <f t="shared" si="44"/>
        <v>8149</v>
      </c>
      <c r="L145" s="36">
        <v>89</v>
      </c>
      <c r="M145" s="36">
        <f t="shared" si="43"/>
        <v>8293</v>
      </c>
      <c r="N145" s="36" t="s">
        <v>387</v>
      </c>
      <c r="O145" s="17"/>
      <c r="X145" s="94" t="s">
        <v>158</v>
      </c>
      <c r="Y145" s="94" t="s">
        <v>5</v>
      </c>
      <c r="Z145" s="193"/>
      <c r="AA145" s="82">
        <v>7082</v>
      </c>
    </row>
    <row r="146" spans="1:27" x14ac:dyDescent="0.3">
      <c r="A146" s="88" t="s">
        <v>128</v>
      </c>
      <c r="B146" s="88" t="s">
        <v>34</v>
      </c>
      <c r="C146" s="88" t="s">
        <v>430</v>
      </c>
      <c r="D146" s="144" t="s">
        <v>45</v>
      </c>
      <c r="E146" s="89" t="s">
        <v>5</v>
      </c>
      <c r="F146" s="89" t="str">
        <f t="shared" si="41"/>
        <v>Healthnet Prime Plan-1-AUH Abu Dhabi 00-17 Male</v>
      </c>
      <c r="G146" s="19" t="str">
        <f t="shared" si="37"/>
        <v>Prime Plan-1-AUH 00-17 Male</v>
      </c>
      <c r="H146" s="36">
        <f t="shared" si="42"/>
        <v>6857</v>
      </c>
      <c r="I146" s="151">
        <v>54.6</v>
      </c>
      <c r="J146" s="36">
        <v>4966</v>
      </c>
      <c r="K146" s="36">
        <f t="shared" ref="K146:K151" si="45">J146+(J146*10%)</f>
        <v>5463</v>
      </c>
      <c r="L146" s="36">
        <v>173</v>
      </c>
      <c r="M146" s="36">
        <f t="shared" si="43"/>
        <v>5691</v>
      </c>
      <c r="N146" s="36" t="s">
        <v>382</v>
      </c>
      <c r="O146" s="170" t="str">
        <f t="shared" ref="O146:O177" si="46">C146</f>
        <v>Prime Plan-1-AUH</v>
      </c>
      <c r="X146" s="94" t="s">
        <v>159</v>
      </c>
      <c r="Y146" s="94" t="s">
        <v>5</v>
      </c>
      <c r="Z146" s="193"/>
      <c r="AA146" s="82">
        <v>14209</v>
      </c>
    </row>
    <row r="147" spans="1:27" x14ac:dyDescent="0.3">
      <c r="A147" s="88" t="s">
        <v>128</v>
      </c>
      <c r="B147" s="88" t="s">
        <v>34</v>
      </c>
      <c r="C147" s="88" t="s">
        <v>430</v>
      </c>
      <c r="D147" s="145" t="s">
        <v>509</v>
      </c>
      <c r="E147" s="89" t="s">
        <v>5</v>
      </c>
      <c r="F147" s="89" t="str">
        <f t="shared" si="41"/>
        <v>Healthnet Prime Plan-1-AUH Abu Dhabi 18-40 Male</v>
      </c>
      <c r="G147" s="19" t="str">
        <f t="shared" si="37"/>
        <v>Prime Plan-1-AUH 18-40 Male</v>
      </c>
      <c r="H147" s="36">
        <f t="shared" si="42"/>
        <v>8092</v>
      </c>
      <c r="I147" s="151">
        <v>54.6</v>
      </c>
      <c r="J147" s="36">
        <v>5898</v>
      </c>
      <c r="K147" s="36">
        <f t="shared" si="45"/>
        <v>6488</v>
      </c>
      <c r="L147" s="36">
        <v>173</v>
      </c>
      <c r="M147" s="36">
        <f t="shared" si="43"/>
        <v>6716</v>
      </c>
      <c r="N147" s="36" t="s">
        <v>382</v>
      </c>
      <c r="O147" s="170" t="str">
        <f t="shared" si="46"/>
        <v>Prime Plan-1-AUH</v>
      </c>
      <c r="X147" s="94" t="s">
        <v>160</v>
      </c>
      <c r="Y147" s="94" t="s">
        <v>5</v>
      </c>
      <c r="Z147" s="193"/>
      <c r="AA147" s="82">
        <v>18472</v>
      </c>
    </row>
    <row r="148" spans="1:27" x14ac:dyDescent="0.3">
      <c r="A148" s="88" t="s">
        <v>128</v>
      </c>
      <c r="B148" s="88" t="s">
        <v>34</v>
      </c>
      <c r="C148" s="88" t="s">
        <v>430</v>
      </c>
      <c r="D148" s="144" t="s">
        <v>510</v>
      </c>
      <c r="E148" s="89" t="s">
        <v>5</v>
      </c>
      <c r="F148" s="89" t="str">
        <f t="shared" si="41"/>
        <v>Healthnet Prime Plan-1-AUH Abu Dhabi 41-59 Male</v>
      </c>
      <c r="G148" s="19" t="str">
        <f t="shared" si="37"/>
        <v>Prime Plan-1-AUH 41-59 Male</v>
      </c>
      <c r="H148" s="36">
        <f t="shared" si="42"/>
        <v>13527</v>
      </c>
      <c r="I148" s="151">
        <v>54.6</v>
      </c>
      <c r="J148" s="36">
        <v>9999</v>
      </c>
      <c r="K148" s="36">
        <f t="shared" si="45"/>
        <v>10999</v>
      </c>
      <c r="L148" s="36">
        <v>173</v>
      </c>
      <c r="M148" s="36">
        <f t="shared" si="43"/>
        <v>11227</v>
      </c>
      <c r="N148" s="36" t="s">
        <v>382</v>
      </c>
      <c r="O148" s="170" t="str">
        <f t="shared" si="46"/>
        <v>Prime Plan-1-AUH</v>
      </c>
      <c r="X148" s="94" t="s">
        <v>441</v>
      </c>
      <c r="Y148" s="94" t="s">
        <v>5</v>
      </c>
      <c r="Z148" s="193"/>
      <c r="AA148" s="82">
        <v>24014</v>
      </c>
    </row>
    <row r="149" spans="1:27" x14ac:dyDescent="0.3">
      <c r="A149" s="88" t="s">
        <v>128</v>
      </c>
      <c r="B149" s="88" t="s">
        <v>34</v>
      </c>
      <c r="C149" s="88" t="s">
        <v>430</v>
      </c>
      <c r="D149" s="145" t="s">
        <v>511</v>
      </c>
      <c r="E149" s="89" t="s">
        <v>5</v>
      </c>
      <c r="F149" s="89" t="str">
        <f t="shared" si="41"/>
        <v>Healthnet Prime Plan-1-AUH Abu Dhabi 60-69 Male</v>
      </c>
      <c r="G149" s="19" t="str">
        <f>CONCATENATE(C149," ",D149," ",E149)</f>
        <v>Prime Plan-1-AUH 60-69 Male</v>
      </c>
      <c r="H149" s="36">
        <f t="shared" si="42"/>
        <v>26861</v>
      </c>
      <c r="I149" s="151">
        <v>54.6</v>
      </c>
      <c r="J149" s="36">
        <v>20061</v>
      </c>
      <c r="K149" s="36">
        <f t="shared" si="45"/>
        <v>22067</v>
      </c>
      <c r="L149" s="36">
        <v>173</v>
      </c>
      <c r="M149" s="36">
        <f t="shared" si="43"/>
        <v>22295</v>
      </c>
      <c r="N149" s="36" t="s">
        <v>382</v>
      </c>
      <c r="O149" s="170" t="str">
        <f t="shared" si="46"/>
        <v>Prime Plan-1-AUH</v>
      </c>
      <c r="X149" s="94" t="s">
        <v>156</v>
      </c>
      <c r="Y149" s="94" t="s">
        <v>7</v>
      </c>
      <c r="Z149" s="193"/>
      <c r="AA149" s="82">
        <v>3517</v>
      </c>
    </row>
    <row r="150" spans="1:27" x14ac:dyDescent="0.3">
      <c r="A150" s="88" t="s">
        <v>128</v>
      </c>
      <c r="B150" s="88" t="s">
        <v>34</v>
      </c>
      <c r="C150" s="88" t="s">
        <v>430</v>
      </c>
      <c r="D150" s="144" t="s">
        <v>154</v>
      </c>
      <c r="E150" s="89" t="s">
        <v>5</v>
      </c>
      <c r="F150" s="89" t="str">
        <f t="shared" si="41"/>
        <v>Healthnet Prime Plan-1-AUH Abu Dhabi 70-75 Male</v>
      </c>
      <c r="G150" s="19" t="str">
        <f t="shared" si="37"/>
        <v>Prime Plan-1-AUH 70-75 Male</v>
      </c>
      <c r="H150" s="36">
        <f t="shared" si="42"/>
        <v>34837</v>
      </c>
      <c r="I150" s="151">
        <v>54.6</v>
      </c>
      <c r="J150" s="36">
        <v>26079</v>
      </c>
      <c r="K150" s="36">
        <f t="shared" si="45"/>
        <v>28687</v>
      </c>
      <c r="L150" s="36">
        <v>173</v>
      </c>
      <c r="M150" s="36">
        <f t="shared" si="43"/>
        <v>28915</v>
      </c>
      <c r="N150" s="36" t="s">
        <v>382</v>
      </c>
      <c r="O150" s="170" t="str">
        <f t="shared" si="46"/>
        <v>Prime Plan-1-AUH</v>
      </c>
      <c r="X150" s="94" t="s">
        <v>157</v>
      </c>
      <c r="Y150" s="94" t="s">
        <v>7</v>
      </c>
      <c r="Z150" s="193"/>
      <c r="AA150" s="82">
        <v>4178</v>
      </c>
    </row>
    <row r="151" spans="1:27" x14ac:dyDescent="0.3">
      <c r="A151" s="88" t="s">
        <v>128</v>
      </c>
      <c r="B151" s="88" t="s">
        <v>34</v>
      </c>
      <c r="C151" s="88" t="s">
        <v>430</v>
      </c>
      <c r="D151" s="145" t="s">
        <v>155</v>
      </c>
      <c r="E151" s="89" t="s">
        <v>5</v>
      </c>
      <c r="F151" s="89" t="str">
        <f t="shared" si="41"/>
        <v>Healthnet Prime Plan-1-AUH Abu Dhabi 76-80 Male</v>
      </c>
      <c r="G151" s="19" t="str">
        <f t="shared" si="37"/>
        <v>Prime Plan-1-AUH 76-80 Male</v>
      </c>
      <c r="H151" s="36">
        <f t="shared" si="42"/>
        <v>45205</v>
      </c>
      <c r="I151" s="151">
        <v>54.6</v>
      </c>
      <c r="J151" s="36">
        <v>33902</v>
      </c>
      <c r="K151" s="36">
        <f t="shared" si="45"/>
        <v>37292</v>
      </c>
      <c r="L151" s="36">
        <v>173</v>
      </c>
      <c r="M151" s="36">
        <f t="shared" si="43"/>
        <v>37520</v>
      </c>
      <c r="N151" s="36" t="s">
        <v>382</v>
      </c>
      <c r="O151" s="170" t="str">
        <f t="shared" si="46"/>
        <v>Prime Plan-1-AUH</v>
      </c>
      <c r="X151" s="94" t="s">
        <v>160</v>
      </c>
      <c r="Y151" s="94" t="s">
        <v>7</v>
      </c>
      <c r="Z151" s="193"/>
      <c r="AA151" s="82">
        <v>18472</v>
      </c>
    </row>
    <row r="152" spans="1:27" x14ac:dyDescent="0.3">
      <c r="A152" s="88" t="s">
        <v>128</v>
      </c>
      <c r="B152" s="88" t="s">
        <v>34</v>
      </c>
      <c r="C152" s="88" t="s">
        <v>430</v>
      </c>
      <c r="D152" s="144" t="s">
        <v>45</v>
      </c>
      <c r="E152" s="89" t="s">
        <v>7</v>
      </c>
      <c r="F152" s="89" t="str">
        <f t="shared" si="41"/>
        <v>Healthnet Prime Plan-1-AUH Abu Dhabi 00-17 Female</v>
      </c>
      <c r="G152" s="19" t="str">
        <f t="shared" si="37"/>
        <v>Prime Plan-1-AUH 00-17 Female</v>
      </c>
      <c r="H152" s="36">
        <f t="shared" si="42"/>
        <v>7454</v>
      </c>
      <c r="I152" s="151">
        <v>54.6</v>
      </c>
      <c r="J152" s="36">
        <v>4966</v>
      </c>
      <c r="K152" s="36">
        <f t="shared" ref="K152:K157" si="47">J152+(J152*20%)</f>
        <v>5959</v>
      </c>
      <c r="L152" s="36">
        <v>173</v>
      </c>
      <c r="M152" s="36">
        <f t="shared" si="43"/>
        <v>6187</v>
      </c>
      <c r="N152" s="36" t="s">
        <v>382</v>
      </c>
      <c r="O152" s="170" t="str">
        <f t="shared" si="46"/>
        <v>Prime Plan-1-AUH</v>
      </c>
      <c r="X152" s="94" t="s">
        <v>156</v>
      </c>
      <c r="Y152" s="94" t="s">
        <v>5</v>
      </c>
      <c r="Z152" s="193" t="s">
        <v>385</v>
      </c>
      <c r="AA152" s="95">
        <v>2813</v>
      </c>
    </row>
    <row r="153" spans="1:27" x14ac:dyDescent="0.3">
      <c r="A153" s="88" t="s">
        <v>128</v>
      </c>
      <c r="B153" s="88" t="s">
        <v>34</v>
      </c>
      <c r="C153" s="88" t="s">
        <v>430</v>
      </c>
      <c r="D153" s="145" t="s">
        <v>509</v>
      </c>
      <c r="E153" s="89" t="s">
        <v>7</v>
      </c>
      <c r="F153" s="89" t="str">
        <f t="shared" si="41"/>
        <v>Healthnet Prime Plan-1-AUH Abu Dhabi 18-40 Female</v>
      </c>
      <c r="G153" s="19" t="str">
        <f t="shared" si="37"/>
        <v>Prime Plan-1-AUH 18-40 Female</v>
      </c>
      <c r="H153" s="36">
        <f t="shared" si="42"/>
        <v>8802</v>
      </c>
      <c r="I153" s="151">
        <v>54.6</v>
      </c>
      <c r="J153" s="36">
        <v>5898</v>
      </c>
      <c r="K153" s="36">
        <f t="shared" si="47"/>
        <v>7078</v>
      </c>
      <c r="L153" s="36">
        <v>173</v>
      </c>
      <c r="M153" s="36">
        <f t="shared" si="43"/>
        <v>7306</v>
      </c>
      <c r="N153" s="36" t="s">
        <v>382</v>
      </c>
      <c r="O153" s="170" t="str">
        <f t="shared" si="46"/>
        <v>Prime Plan-1-AUH</v>
      </c>
      <c r="X153" s="94"/>
      <c r="Y153" s="94"/>
      <c r="Z153" s="193"/>
      <c r="AA153" s="95"/>
    </row>
    <row r="154" spans="1:27" x14ac:dyDescent="0.3">
      <c r="A154" s="88" t="s">
        <v>128</v>
      </c>
      <c r="B154" s="88" t="s">
        <v>34</v>
      </c>
      <c r="C154" s="88" t="s">
        <v>430</v>
      </c>
      <c r="D154" s="144" t="s">
        <v>510</v>
      </c>
      <c r="E154" s="89" t="s">
        <v>7</v>
      </c>
      <c r="F154" s="89" t="str">
        <f t="shared" si="41"/>
        <v>Healthnet Prime Plan-1-AUH Abu Dhabi 41-59 Female</v>
      </c>
      <c r="G154" s="19" t="str">
        <f t="shared" si="37"/>
        <v>Prime Plan-1-AUH 41-59 Female</v>
      </c>
      <c r="H154" s="36">
        <f t="shared" si="42"/>
        <v>14731</v>
      </c>
      <c r="I154" s="151">
        <v>54.6</v>
      </c>
      <c r="J154" s="36">
        <v>9999</v>
      </c>
      <c r="K154" s="36">
        <f t="shared" si="47"/>
        <v>11999</v>
      </c>
      <c r="L154" s="36">
        <v>173</v>
      </c>
      <c r="M154" s="36">
        <f t="shared" si="43"/>
        <v>12227</v>
      </c>
      <c r="N154" s="36" t="s">
        <v>382</v>
      </c>
      <c r="O154" s="170" t="str">
        <f t="shared" si="46"/>
        <v>Prime Plan-1-AUH</v>
      </c>
      <c r="X154" s="94" t="s">
        <v>157</v>
      </c>
      <c r="Y154" s="94" t="s">
        <v>5</v>
      </c>
      <c r="Z154" s="193"/>
      <c r="AA154" s="95">
        <v>3323</v>
      </c>
    </row>
    <row r="155" spans="1:27" x14ac:dyDescent="0.3">
      <c r="A155" s="88" t="s">
        <v>128</v>
      </c>
      <c r="B155" s="88" t="s">
        <v>34</v>
      </c>
      <c r="C155" s="88" t="s">
        <v>430</v>
      </c>
      <c r="D155" s="145" t="s">
        <v>511</v>
      </c>
      <c r="E155" s="89" t="s">
        <v>7</v>
      </c>
      <c r="F155" s="89" t="str">
        <f t="shared" si="41"/>
        <v>Healthnet Prime Plan-1-AUH Abu Dhabi 60-69 Female</v>
      </c>
      <c r="G155" s="19" t="str">
        <f t="shared" si="37"/>
        <v>Prime Plan-1-AUH 60-69 Female</v>
      </c>
      <c r="H155" s="36">
        <f t="shared" si="42"/>
        <v>29278</v>
      </c>
      <c r="I155" s="151">
        <v>54.6</v>
      </c>
      <c r="J155" s="36">
        <v>20061</v>
      </c>
      <c r="K155" s="36">
        <f t="shared" si="47"/>
        <v>24073</v>
      </c>
      <c r="L155" s="36">
        <v>173</v>
      </c>
      <c r="M155" s="36">
        <f t="shared" si="43"/>
        <v>24301</v>
      </c>
      <c r="N155" s="36" t="s">
        <v>382</v>
      </c>
      <c r="O155" s="170" t="str">
        <f t="shared" si="46"/>
        <v>Prime Plan-1-AUH</v>
      </c>
      <c r="X155" s="94" t="s">
        <v>158</v>
      </c>
      <c r="Y155" s="94" t="s">
        <v>5</v>
      </c>
      <c r="Z155" s="193"/>
      <c r="AA155" s="95">
        <v>5570</v>
      </c>
    </row>
    <row r="156" spans="1:27" x14ac:dyDescent="0.3">
      <c r="A156" s="88" t="s">
        <v>128</v>
      </c>
      <c r="B156" s="88" t="s">
        <v>34</v>
      </c>
      <c r="C156" s="88" t="s">
        <v>430</v>
      </c>
      <c r="D156" s="144" t="s">
        <v>154</v>
      </c>
      <c r="E156" s="89" t="s">
        <v>7</v>
      </c>
      <c r="F156" s="89" t="str">
        <f t="shared" si="41"/>
        <v>Healthnet Prime Plan-1-AUH Abu Dhabi 70-75 Female</v>
      </c>
      <c r="G156" s="19" t="str">
        <f t="shared" si="37"/>
        <v>Prime Plan-1-AUH 70-75 Female</v>
      </c>
      <c r="H156" s="36">
        <f t="shared" si="42"/>
        <v>37980</v>
      </c>
      <c r="I156" s="151">
        <v>54.6</v>
      </c>
      <c r="J156" s="36">
        <v>26079</v>
      </c>
      <c r="K156" s="36">
        <f t="shared" si="47"/>
        <v>31295</v>
      </c>
      <c r="L156" s="36">
        <v>173</v>
      </c>
      <c r="M156" s="36">
        <f t="shared" si="43"/>
        <v>31523</v>
      </c>
      <c r="N156" s="36" t="s">
        <v>382</v>
      </c>
      <c r="O156" s="170" t="str">
        <f t="shared" si="46"/>
        <v>Prime Plan-1-AUH</v>
      </c>
      <c r="X156" s="94"/>
      <c r="Y156" s="94"/>
      <c r="Z156" s="193"/>
      <c r="AA156" s="95"/>
    </row>
    <row r="157" spans="1:27" x14ac:dyDescent="0.3">
      <c r="A157" s="88" t="s">
        <v>128</v>
      </c>
      <c r="B157" s="88" t="s">
        <v>34</v>
      </c>
      <c r="C157" s="88" t="s">
        <v>430</v>
      </c>
      <c r="D157" s="145" t="s">
        <v>155</v>
      </c>
      <c r="E157" s="89" t="s">
        <v>7</v>
      </c>
      <c r="F157" s="89" t="str">
        <f t="shared" si="41"/>
        <v>Healthnet Prime Plan-1-AUH Abu Dhabi 76-80 Female</v>
      </c>
      <c r="G157" s="19" t="str">
        <f t="shared" si="37"/>
        <v>Prime Plan-1-AUH 76-80 Female</v>
      </c>
      <c r="H157" s="36">
        <f t="shared" si="42"/>
        <v>49289</v>
      </c>
      <c r="I157" s="151">
        <v>54.6</v>
      </c>
      <c r="J157" s="36">
        <v>33902</v>
      </c>
      <c r="K157" s="36">
        <f t="shared" si="47"/>
        <v>40682</v>
      </c>
      <c r="L157" s="36">
        <v>173</v>
      </c>
      <c r="M157" s="36">
        <f t="shared" si="43"/>
        <v>40910</v>
      </c>
      <c r="N157" s="36" t="s">
        <v>382</v>
      </c>
      <c r="O157" s="170" t="str">
        <f t="shared" si="46"/>
        <v>Prime Plan-1-AUH</v>
      </c>
      <c r="X157" s="94"/>
      <c r="Y157" s="94"/>
      <c r="Z157" s="193"/>
      <c r="AA157" s="95"/>
    </row>
    <row r="158" spans="1:27" x14ac:dyDescent="0.3">
      <c r="A158" s="88" t="s">
        <v>128</v>
      </c>
      <c r="B158" s="88" t="s">
        <v>34</v>
      </c>
      <c r="C158" s="88" t="s">
        <v>431</v>
      </c>
      <c r="D158" s="144" t="s">
        <v>45</v>
      </c>
      <c r="E158" s="89" t="s">
        <v>5</v>
      </c>
      <c r="F158" s="89" t="str">
        <f t="shared" ref="F158:F209" si="48">+CONCATENATE(A158," ",C158," ",B158," ",D158," ",E158)</f>
        <v>Healthnet Prime Plan-2-AUH Abu Dhabi 00-17 Male</v>
      </c>
      <c r="G158" s="19" t="str">
        <f t="shared" ref="G158:G160" si="49">CONCATENATE(C158," ",D158," ",E158)</f>
        <v>Prime Plan-2-AUH 00-17 Male</v>
      </c>
      <c r="H158" s="36">
        <f t="shared" si="42"/>
        <v>5759</v>
      </c>
      <c r="I158" s="151">
        <v>54.6</v>
      </c>
      <c r="J158" s="36">
        <v>4138</v>
      </c>
      <c r="K158" s="36">
        <f t="shared" ref="K158:K163" si="50">J158+(J158*10%)</f>
        <v>4552</v>
      </c>
      <c r="L158" s="36">
        <v>173</v>
      </c>
      <c r="M158" s="36">
        <f t="shared" si="43"/>
        <v>4780</v>
      </c>
      <c r="N158" s="36" t="s">
        <v>566</v>
      </c>
      <c r="O158" s="170" t="str">
        <f t="shared" si="46"/>
        <v>Prime Plan-2-AUH</v>
      </c>
      <c r="X158" s="94"/>
      <c r="Y158" s="94"/>
      <c r="Z158" s="193"/>
      <c r="AA158" s="95"/>
    </row>
    <row r="159" spans="1:27" x14ac:dyDescent="0.3">
      <c r="A159" s="88" t="s">
        <v>128</v>
      </c>
      <c r="B159" s="88" t="s">
        <v>34</v>
      </c>
      <c r="C159" s="88" t="s">
        <v>431</v>
      </c>
      <c r="D159" s="145" t="s">
        <v>509</v>
      </c>
      <c r="E159" s="89" t="s">
        <v>5</v>
      </c>
      <c r="F159" s="89" t="str">
        <f t="shared" si="48"/>
        <v>Healthnet Prime Plan-2-AUH Abu Dhabi 18-40 Male</v>
      </c>
      <c r="G159" s="19" t="str">
        <f t="shared" si="49"/>
        <v>Prime Plan-2-AUH 18-40 Male</v>
      </c>
      <c r="H159" s="36">
        <f t="shared" si="42"/>
        <v>6789</v>
      </c>
      <c r="I159" s="151">
        <v>54.6</v>
      </c>
      <c r="J159" s="36">
        <v>4915</v>
      </c>
      <c r="K159" s="36">
        <f t="shared" si="50"/>
        <v>5407</v>
      </c>
      <c r="L159" s="36">
        <v>173</v>
      </c>
      <c r="M159" s="36">
        <f t="shared" si="43"/>
        <v>5635</v>
      </c>
      <c r="N159" s="36" t="s">
        <v>566</v>
      </c>
      <c r="O159" s="170" t="str">
        <f t="shared" si="46"/>
        <v>Prime Plan-2-AUH</v>
      </c>
      <c r="X159" s="94"/>
      <c r="Y159" s="94"/>
      <c r="Z159" s="193"/>
      <c r="AA159" s="95"/>
    </row>
    <row r="160" spans="1:27" x14ac:dyDescent="0.3">
      <c r="A160" s="88" t="s">
        <v>128</v>
      </c>
      <c r="B160" s="88" t="s">
        <v>34</v>
      </c>
      <c r="C160" s="88" t="s">
        <v>431</v>
      </c>
      <c r="D160" s="144" t="s">
        <v>510</v>
      </c>
      <c r="E160" s="89" t="s">
        <v>5</v>
      </c>
      <c r="F160" s="89" t="str">
        <f t="shared" si="48"/>
        <v>Healthnet Prime Plan-2-AUH Abu Dhabi 41-59 Male</v>
      </c>
      <c r="G160" s="19" t="str">
        <f t="shared" si="49"/>
        <v>Prime Plan-2-AUH 41-59 Male</v>
      </c>
      <c r="H160" s="36">
        <f t="shared" si="42"/>
        <v>11317</v>
      </c>
      <c r="I160" s="151">
        <v>54.6</v>
      </c>
      <c r="J160" s="36">
        <v>8332</v>
      </c>
      <c r="K160" s="36">
        <f t="shared" si="50"/>
        <v>9165</v>
      </c>
      <c r="L160" s="36">
        <v>173</v>
      </c>
      <c r="M160" s="36">
        <f t="shared" si="43"/>
        <v>9393</v>
      </c>
      <c r="N160" s="36" t="s">
        <v>566</v>
      </c>
      <c r="O160" s="170" t="str">
        <f t="shared" si="46"/>
        <v>Prime Plan-2-AUH</v>
      </c>
      <c r="X160" s="94"/>
      <c r="Y160" s="94"/>
      <c r="Z160" s="193"/>
      <c r="AA160" s="95"/>
    </row>
    <row r="161" spans="1:27" x14ac:dyDescent="0.3">
      <c r="A161" s="88" t="s">
        <v>128</v>
      </c>
      <c r="B161" s="88" t="s">
        <v>34</v>
      </c>
      <c r="C161" s="88" t="s">
        <v>431</v>
      </c>
      <c r="D161" s="145" t="s">
        <v>511</v>
      </c>
      <c r="E161" s="89" t="s">
        <v>5</v>
      </c>
      <c r="F161" s="89" t="str">
        <f t="shared" si="48"/>
        <v>Healthnet Prime Plan-2-AUH Abu Dhabi 60-69 Male</v>
      </c>
      <c r="G161" s="19" t="str">
        <f>CONCATENATE(C161," ",D161," ",E161)</f>
        <v>Prime Plan-2-AUH 60-69 Male</v>
      </c>
      <c r="H161" s="36">
        <f t="shared" si="42"/>
        <v>22430</v>
      </c>
      <c r="I161" s="151">
        <v>54.6</v>
      </c>
      <c r="J161" s="36">
        <v>16717</v>
      </c>
      <c r="K161" s="36">
        <f t="shared" si="50"/>
        <v>18389</v>
      </c>
      <c r="L161" s="36">
        <v>173</v>
      </c>
      <c r="M161" s="36">
        <f t="shared" si="43"/>
        <v>18617</v>
      </c>
      <c r="N161" s="36" t="s">
        <v>566</v>
      </c>
      <c r="O161" s="170" t="str">
        <f t="shared" si="46"/>
        <v>Prime Plan-2-AUH</v>
      </c>
      <c r="X161" s="94"/>
      <c r="Y161" s="94"/>
      <c r="Z161" s="193"/>
      <c r="AA161" s="95"/>
    </row>
    <row r="162" spans="1:27" x14ac:dyDescent="0.3">
      <c r="A162" s="88" t="s">
        <v>128</v>
      </c>
      <c r="B162" s="88" t="s">
        <v>34</v>
      </c>
      <c r="C162" s="88" t="s">
        <v>431</v>
      </c>
      <c r="D162" s="144" t="s">
        <v>154</v>
      </c>
      <c r="E162" s="89" t="s">
        <v>5</v>
      </c>
      <c r="F162" s="89" t="str">
        <f t="shared" si="48"/>
        <v>Healthnet Prime Plan-2-AUH Abu Dhabi 70-75 Male</v>
      </c>
      <c r="G162" s="19" t="str">
        <f t="shared" ref="G162:G172" si="51">CONCATENATE(C162," ",D162," ",E162)</f>
        <v>Prime Plan-2-AUH 70-75 Male</v>
      </c>
      <c r="H162" s="36">
        <f t="shared" si="42"/>
        <v>29076</v>
      </c>
      <c r="I162" s="151">
        <v>54.6</v>
      </c>
      <c r="J162" s="36">
        <v>21732</v>
      </c>
      <c r="K162" s="36">
        <f t="shared" si="50"/>
        <v>23905</v>
      </c>
      <c r="L162" s="36">
        <v>173</v>
      </c>
      <c r="M162" s="36">
        <f t="shared" si="43"/>
        <v>24133</v>
      </c>
      <c r="N162" s="36" t="s">
        <v>566</v>
      </c>
      <c r="O162" s="170" t="str">
        <f t="shared" si="46"/>
        <v>Prime Plan-2-AUH</v>
      </c>
      <c r="X162" s="94" t="s">
        <v>441</v>
      </c>
      <c r="Y162" s="94" t="s">
        <v>5</v>
      </c>
      <c r="Z162" s="193"/>
      <c r="AA162" s="95">
        <v>18636</v>
      </c>
    </row>
    <row r="163" spans="1:27" x14ac:dyDescent="0.3">
      <c r="A163" s="88" t="s">
        <v>128</v>
      </c>
      <c r="B163" s="88" t="s">
        <v>34</v>
      </c>
      <c r="C163" s="88" t="s">
        <v>431</v>
      </c>
      <c r="D163" s="145" t="s">
        <v>155</v>
      </c>
      <c r="E163" s="89" t="s">
        <v>5</v>
      </c>
      <c r="F163" s="89" t="str">
        <f t="shared" si="48"/>
        <v>Healthnet Prime Plan-2-AUH Abu Dhabi 76-80 Male</v>
      </c>
      <c r="G163" s="19" t="str">
        <f t="shared" si="51"/>
        <v>Prime Plan-2-AUH 76-80 Male</v>
      </c>
      <c r="H163" s="36">
        <f t="shared" si="42"/>
        <v>37717</v>
      </c>
      <c r="I163" s="151">
        <v>54.6</v>
      </c>
      <c r="J163" s="36">
        <v>28252</v>
      </c>
      <c r="K163" s="36">
        <f t="shared" si="50"/>
        <v>31077</v>
      </c>
      <c r="L163" s="36">
        <v>173</v>
      </c>
      <c r="M163" s="36">
        <f t="shared" si="43"/>
        <v>31305</v>
      </c>
      <c r="N163" s="36" t="s">
        <v>566</v>
      </c>
      <c r="O163" s="170" t="str">
        <f t="shared" si="46"/>
        <v>Prime Plan-2-AUH</v>
      </c>
      <c r="X163" s="94" t="s">
        <v>156</v>
      </c>
      <c r="Y163" s="94" t="s">
        <v>7</v>
      </c>
      <c r="Z163" s="193"/>
      <c r="AA163" s="95">
        <v>2813</v>
      </c>
    </row>
    <row r="164" spans="1:27" x14ac:dyDescent="0.3">
      <c r="A164" s="88" t="s">
        <v>128</v>
      </c>
      <c r="B164" s="88" t="s">
        <v>34</v>
      </c>
      <c r="C164" s="88" t="s">
        <v>431</v>
      </c>
      <c r="D164" s="144" t="s">
        <v>45</v>
      </c>
      <c r="E164" s="89" t="s">
        <v>7</v>
      </c>
      <c r="F164" s="89" t="str">
        <f t="shared" si="48"/>
        <v>Healthnet Prime Plan-2-AUH Abu Dhabi 00-17 Female</v>
      </c>
      <c r="G164" s="19" t="str">
        <f t="shared" si="51"/>
        <v>Prime Plan-2-AUH 00-17 Female</v>
      </c>
      <c r="H164" s="36">
        <f t="shared" si="42"/>
        <v>6258</v>
      </c>
      <c r="I164" s="151">
        <v>54.6</v>
      </c>
      <c r="J164" s="36">
        <v>4138</v>
      </c>
      <c r="K164" s="36">
        <f t="shared" ref="K164:K169" si="52">J164+(J164*20%)</f>
        <v>4966</v>
      </c>
      <c r="L164" s="36">
        <v>173</v>
      </c>
      <c r="M164" s="36">
        <f t="shared" si="43"/>
        <v>5194</v>
      </c>
      <c r="N164" s="36" t="s">
        <v>566</v>
      </c>
      <c r="O164" s="170" t="str">
        <f t="shared" si="46"/>
        <v>Prime Plan-2-AUH</v>
      </c>
      <c r="X164" s="94" t="s">
        <v>157</v>
      </c>
      <c r="Y164" s="94" t="s">
        <v>7</v>
      </c>
      <c r="Z164" s="193"/>
      <c r="AA164" s="95">
        <v>3323</v>
      </c>
    </row>
    <row r="165" spans="1:27" x14ac:dyDescent="0.3">
      <c r="A165" s="88" t="s">
        <v>128</v>
      </c>
      <c r="B165" s="88" t="s">
        <v>34</v>
      </c>
      <c r="C165" s="88" t="s">
        <v>431</v>
      </c>
      <c r="D165" s="145" t="s">
        <v>509</v>
      </c>
      <c r="E165" s="89" t="s">
        <v>7</v>
      </c>
      <c r="F165" s="89" t="str">
        <f t="shared" si="48"/>
        <v>Healthnet Prime Plan-2-AUH Abu Dhabi 18-40 Female</v>
      </c>
      <c r="G165" s="19" t="str">
        <f t="shared" si="51"/>
        <v>Prime Plan-2-AUH 18-40 Female</v>
      </c>
      <c r="H165" s="36">
        <f t="shared" si="42"/>
        <v>7381</v>
      </c>
      <c r="I165" s="151">
        <v>54.6</v>
      </c>
      <c r="J165" s="36">
        <v>4915</v>
      </c>
      <c r="K165" s="36">
        <f t="shared" si="52"/>
        <v>5898</v>
      </c>
      <c r="L165" s="36">
        <v>173</v>
      </c>
      <c r="M165" s="36">
        <f t="shared" si="43"/>
        <v>6126</v>
      </c>
      <c r="N165" s="36" t="s">
        <v>566</v>
      </c>
      <c r="O165" s="170" t="str">
        <f t="shared" si="46"/>
        <v>Prime Plan-2-AUH</v>
      </c>
      <c r="X165" s="94" t="s">
        <v>158</v>
      </c>
      <c r="Y165" s="94" t="s">
        <v>7</v>
      </c>
      <c r="Z165" s="193"/>
      <c r="AA165" s="95">
        <v>5570</v>
      </c>
    </row>
    <row r="166" spans="1:27" x14ac:dyDescent="0.3">
      <c r="A166" s="88" t="s">
        <v>128</v>
      </c>
      <c r="B166" s="88" t="s">
        <v>34</v>
      </c>
      <c r="C166" s="88" t="s">
        <v>431</v>
      </c>
      <c r="D166" s="144" t="s">
        <v>510</v>
      </c>
      <c r="E166" s="89" t="s">
        <v>7</v>
      </c>
      <c r="F166" s="89" t="str">
        <f t="shared" si="48"/>
        <v>Healthnet Prime Plan-2-AUH Abu Dhabi 41-59 Female</v>
      </c>
      <c r="G166" s="19" t="str">
        <f t="shared" si="51"/>
        <v>Prime Plan-2-AUH 41-59 Female</v>
      </c>
      <c r="H166" s="36">
        <f t="shared" si="42"/>
        <v>12320</v>
      </c>
      <c r="I166" s="151">
        <v>54.6</v>
      </c>
      <c r="J166" s="36">
        <v>8332</v>
      </c>
      <c r="K166" s="36">
        <f t="shared" si="52"/>
        <v>9998</v>
      </c>
      <c r="L166" s="36">
        <v>173</v>
      </c>
      <c r="M166" s="36">
        <f t="shared" si="43"/>
        <v>10226</v>
      </c>
      <c r="N166" s="36" t="s">
        <v>566</v>
      </c>
      <c r="O166" s="170" t="str">
        <f t="shared" si="46"/>
        <v>Prime Plan-2-AUH</v>
      </c>
      <c r="X166" s="94" t="s">
        <v>159</v>
      </c>
      <c r="Y166" s="94" t="s">
        <v>7</v>
      </c>
      <c r="Z166" s="193"/>
      <c r="AA166" s="95">
        <v>11028</v>
      </c>
    </row>
    <row r="167" spans="1:27" x14ac:dyDescent="0.3">
      <c r="A167" s="88" t="s">
        <v>128</v>
      </c>
      <c r="B167" s="88" t="s">
        <v>34</v>
      </c>
      <c r="C167" s="88" t="s">
        <v>431</v>
      </c>
      <c r="D167" s="145" t="s">
        <v>511</v>
      </c>
      <c r="E167" s="89" t="s">
        <v>7</v>
      </c>
      <c r="F167" s="89" t="str">
        <f t="shared" si="48"/>
        <v>Healthnet Prime Plan-2-AUH Abu Dhabi 60-69 Female</v>
      </c>
      <c r="G167" s="19" t="str">
        <f t="shared" si="51"/>
        <v>Prime Plan-2-AUH 60-69 Female</v>
      </c>
      <c r="H167" s="36">
        <f t="shared" si="42"/>
        <v>24443</v>
      </c>
      <c r="I167" s="151">
        <v>54.6</v>
      </c>
      <c r="J167" s="36">
        <v>16717</v>
      </c>
      <c r="K167" s="36">
        <f t="shared" si="52"/>
        <v>20060</v>
      </c>
      <c r="L167" s="36">
        <v>173</v>
      </c>
      <c r="M167" s="36">
        <f t="shared" si="43"/>
        <v>20288</v>
      </c>
      <c r="N167" s="36" t="s">
        <v>566</v>
      </c>
      <c r="O167" s="170" t="str">
        <f t="shared" si="46"/>
        <v>Prime Plan-2-AUH</v>
      </c>
      <c r="X167" s="94" t="s">
        <v>160</v>
      </c>
      <c r="Y167" s="94" t="s">
        <v>7</v>
      </c>
      <c r="Z167" s="193"/>
      <c r="AA167" s="95">
        <v>14336</v>
      </c>
    </row>
    <row r="168" spans="1:27" x14ac:dyDescent="0.3">
      <c r="A168" s="88" t="s">
        <v>128</v>
      </c>
      <c r="B168" s="88" t="s">
        <v>34</v>
      </c>
      <c r="C168" s="88" t="s">
        <v>431</v>
      </c>
      <c r="D168" s="144" t="s">
        <v>154</v>
      </c>
      <c r="E168" s="89" t="s">
        <v>7</v>
      </c>
      <c r="F168" s="89" t="str">
        <f t="shared" si="48"/>
        <v>Healthnet Prime Plan-2-AUH Abu Dhabi 70-75 Female</v>
      </c>
      <c r="G168" s="19" t="str">
        <f t="shared" si="51"/>
        <v>Prime Plan-2-AUH 70-75 Female</v>
      </c>
      <c r="H168" s="36">
        <f t="shared" si="42"/>
        <v>31694</v>
      </c>
      <c r="I168" s="151">
        <v>54.6</v>
      </c>
      <c r="J168" s="36">
        <v>21732</v>
      </c>
      <c r="K168" s="36">
        <f t="shared" si="52"/>
        <v>26078</v>
      </c>
      <c r="L168" s="36">
        <v>173</v>
      </c>
      <c r="M168" s="36">
        <f t="shared" si="43"/>
        <v>26306</v>
      </c>
      <c r="N168" s="36" t="s">
        <v>566</v>
      </c>
      <c r="O168" s="170" t="str">
        <f t="shared" si="46"/>
        <v>Prime Plan-2-AUH</v>
      </c>
      <c r="X168" s="94" t="s">
        <v>441</v>
      </c>
      <c r="Y168" s="94" t="s">
        <v>7</v>
      </c>
      <c r="Z168" s="193"/>
      <c r="AA168" s="95">
        <v>18636</v>
      </c>
    </row>
    <row r="169" spans="1:27" x14ac:dyDescent="0.3">
      <c r="A169" s="88" t="s">
        <v>128</v>
      </c>
      <c r="B169" s="88" t="s">
        <v>34</v>
      </c>
      <c r="C169" s="88" t="s">
        <v>431</v>
      </c>
      <c r="D169" s="145" t="s">
        <v>155</v>
      </c>
      <c r="E169" s="89" t="s">
        <v>7</v>
      </c>
      <c r="F169" s="89" t="str">
        <f t="shared" si="48"/>
        <v>Healthnet Prime Plan-2-AUH Abu Dhabi 76-80 Female</v>
      </c>
      <c r="G169" s="19" t="str">
        <f t="shared" si="51"/>
        <v>Prime Plan-2-AUH 76-80 Female</v>
      </c>
      <c r="H169" s="36">
        <f t="shared" si="42"/>
        <v>41120</v>
      </c>
      <c r="I169" s="151">
        <v>54.6</v>
      </c>
      <c r="J169" s="36">
        <v>28252</v>
      </c>
      <c r="K169" s="36">
        <f t="shared" si="52"/>
        <v>33902</v>
      </c>
      <c r="L169" s="36">
        <v>173</v>
      </c>
      <c r="M169" s="36">
        <f t="shared" si="43"/>
        <v>34130</v>
      </c>
      <c r="N169" s="36" t="s">
        <v>566</v>
      </c>
      <c r="O169" s="170" t="str">
        <f t="shared" si="46"/>
        <v>Prime Plan-2-AUH</v>
      </c>
      <c r="X169" s="94" t="s">
        <v>156</v>
      </c>
      <c r="Y169" s="94" t="s">
        <v>5</v>
      </c>
      <c r="Z169" s="193" t="s">
        <v>443</v>
      </c>
      <c r="AA169" s="95">
        <v>2366</v>
      </c>
    </row>
    <row r="170" spans="1:27" x14ac:dyDescent="0.3">
      <c r="A170" s="88" t="s">
        <v>128</v>
      </c>
      <c r="B170" s="88" t="s">
        <v>34</v>
      </c>
      <c r="C170" s="88" t="s">
        <v>462</v>
      </c>
      <c r="D170" s="144" t="s">
        <v>45</v>
      </c>
      <c r="E170" s="89" t="s">
        <v>5</v>
      </c>
      <c r="F170" s="89" t="str">
        <f t="shared" si="48"/>
        <v>Healthnet Classic Plan-1-AUH Abu Dhabi 00-17 Male</v>
      </c>
      <c r="G170" s="19" t="str">
        <f t="shared" si="51"/>
        <v>Classic Plan-1-AUH 00-17 Male</v>
      </c>
      <c r="H170" s="36">
        <f t="shared" si="42"/>
        <v>5210</v>
      </c>
      <c r="I170" s="151">
        <v>54.6</v>
      </c>
      <c r="J170" s="36">
        <v>3724</v>
      </c>
      <c r="K170" s="36">
        <f t="shared" ref="K170:K175" si="53">J170+(J170*10%)</f>
        <v>4096</v>
      </c>
      <c r="L170" s="36">
        <v>173</v>
      </c>
      <c r="M170" s="36">
        <f t="shared" si="43"/>
        <v>4324</v>
      </c>
      <c r="N170" s="36" t="s">
        <v>384</v>
      </c>
      <c r="O170" s="170" t="str">
        <f t="shared" si="46"/>
        <v>Classic Plan-1-AUH</v>
      </c>
      <c r="X170" s="94"/>
      <c r="Y170" s="94"/>
      <c r="Z170" s="193"/>
      <c r="AA170" s="95"/>
    </row>
    <row r="171" spans="1:27" x14ac:dyDescent="0.3">
      <c r="A171" s="88" t="s">
        <v>128</v>
      </c>
      <c r="B171" s="88" t="s">
        <v>34</v>
      </c>
      <c r="C171" s="88" t="s">
        <v>462</v>
      </c>
      <c r="D171" s="145" t="s">
        <v>509</v>
      </c>
      <c r="E171" s="89" t="s">
        <v>5</v>
      </c>
      <c r="F171" s="89" t="str">
        <f t="shared" si="48"/>
        <v>Healthnet Classic Plan-1-AUH Abu Dhabi 18-40 Male</v>
      </c>
      <c r="G171" s="19" t="str">
        <f t="shared" si="51"/>
        <v>Classic Plan-1-AUH 18-40 Male</v>
      </c>
      <c r="H171" s="36">
        <f t="shared" si="42"/>
        <v>6137</v>
      </c>
      <c r="I171" s="151">
        <v>54.6</v>
      </c>
      <c r="J171" s="36">
        <v>4424</v>
      </c>
      <c r="K171" s="36">
        <f t="shared" si="53"/>
        <v>4866</v>
      </c>
      <c r="L171" s="36">
        <v>173</v>
      </c>
      <c r="M171" s="36">
        <f t="shared" si="43"/>
        <v>5094</v>
      </c>
      <c r="N171" s="36" t="s">
        <v>384</v>
      </c>
      <c r="O171" s="170" t="str">
        <f t="shared" si="46"/>
        <v>Classic Plan-1-AUH</v>
      </c>
      <c r="X171" s="94"/>
      <c r="Y171" s="94"/>
      <c r="Z171" s="193"/>
      <c r="AA171" s="95"/>
    </row>
    <row r="172" spans="1:27" x14ac:dyDescent="0.3">
      <c r="A172" s="88" t="s">
        <v>128</v>
      </c>
      <c r="B172" s="88" t="s">
        <v>34</v>
      </c>
      <c r="C172" s="88" t="s">
        <v>462</v>
      </c>
      <c r="D172" s="144" t="s">
        <v>510</v>
      </c>
      <c r="E172" s="89" t="s">
        <v>5</v>
      </c>
      <c r="F172" s="89" t="str">
        <f t="shared" si="48"/>
        <v>Healthnet Classic Plan-1-AUH Abu Dhabi 41-59 Male</v>
      </c>
      <c r="G172" s="19" t="str">
        <f t="shared" si="51"/>
        <v>Classic Plan-1-AUH 41-59 Male</v>
      </c>
      <c r="H172" s="36">
        <f t="shared" si="42"/>
        <v>10213</v>
      </c>
      <c r="I172" s="151">
        <v>54.6</v>
      </c>
      <c r="J172" s="36">
        <v>7499</v>
      </c>
      <c r="K172" s="36">
        <f t="shared" si="53"/>
        <v>8249</v>
      </c>
      <c r="L172" s="36">
        <v>173</v>
      </c>
      <c r="M172" s="36">
        <f t="shared" si="43"/>
        <v>8477</v>
      </c>
      <c r="N172" s="36" t="s">
        <v>384</v>
      </c>
      <c r="O172" s="170" t="str">
        <f t="shared" si="46"/>
        <v>Classic Plan-1-AUH</v>
      </c>
      <c r="X172" s="94"/>
      <c r="Y172" s="94"/>
      <c r="Z172" s="193"/>
      <c r="AA172" s="95"/>
    </row>
    <row r="173" spans="1:27" x14ac:dyDescent="0.3">
      <c r="A173" s="88" t="s">
        <v>128</v>
      </c>
      <c r="B173" s="88" t="s">
        <v>34</v>
      </c>
      <c r="C173" s="88" t="s">
        <v>462</v>
      </c>
      <c r="D173" s="145" t="s">
        <v>511</v>
      </c>
      <c r="E173" s="89" t="s">
        <v>5</v>
      </c>
      <c r="F173" s="89" t="str">
        <f t="shared" si="48"/>
        <v>Healthnet Classic Plan-1-AUH Abu Dhabi 60-69 Male</v>
      </c>
      <c r="G173" s="19" t="str">
        <f>CONCATENATE(C173," ",D173," ",E173)</f>
        <v>Classic Plan-1-AUH 60-69 Male</v>
      </c>
      <c r="H173" s="36">
        <f t="shared" si="42"/>
        <v>20214</v>
      </c>
      <c r="I173" s="151">
        <v>54.6</v>
      </c>
      <c r="J173" s="36">
        <v>15045</v>
      </c>
      <c r="K173" s="36">
        <f t="shared" si="53"/>
        <v>16550</v>
      </c>
      <c r="L173" s="36">
        <v>173</v>
      </c>
      <c r="M173" s="36">
        <f t="shared" si="43"/>
        <v>16778</v>
      </c>
      <c r="N173" s="36" t="s">
        <v>384</v>
      </c>
      <c r="O173" s="170" t="str">
        <f t="shared" si="46"/>
        <v>Classic Plan-1-AUH</v>
      </c>
      <c r="X173" s="94"/>
      <c r="Y173" s="94"/>
      <c r="Z173" s="193"/>
      <c r="AA173" s="95"/>
    </row>
    <row r="174" spans="1:27" x14ac:dyDescent="0.3">
      <c r="A174" s="88" t="s">
        <v>128</v>
      </c>
      <c r="B174" s="88" t="s">
        <v>34</v>
      </c>
      <c r="C174" s="88" t="s">
        <v>462</v>
      </c>
      <c r="D174" s="144" t="s">
        <v>154</v>
      </c>
      <c r="E174" s="89" t="s">
        <v>5</v>
      </c>
      <c r="F174" s="89" t="str">
        <f t="shared" si="48"/>
        <v>Healthnet Classic Plan-1-AUH Abu Dhabi 70-75 Male</v>
      </c>
      <c r="G174" s="19" t="str">
        <f t="shared" ref="G174:G184" si="54">CONCATENATE(C174," ",D174," ",E174)</f>
        <v>Classic Plan-1-AUH 70-75 Male</v>
      </c>
      <c r="H174" s="36">
        <f t="shared" si="42"/>
        <v>26196</v>
      </c>
      <c r="I174" s="151">
        <v>54.6</v>
      </c>
      <c r="J174" s="36">
        <v>19559</v>
      </c>
      <c r="K174" s="36">
        <f t="shared" si="53"/>
        <v>21515</v>
      </c>
      <c r="L174" s="36">
        <v>173</v>
      </c>
      <c r="M174" s="36">
        <f t="shared" si="43"/>
        <v>21743</v>
      </c>
      <c r="N174" s="36" t="s">
        <v>384</v>
      </c>
      <c r="O174" s="170" t="str">
        <f t="shared" si="46"/>
        <v>Classic Plan-1-AUH</v>
      </c>
      <c r="X174" s="94" t="s">
        <v>157</v>
      </c>
      <c r="Y174" s="94" t="s">
        <v>7</v>
      </c>
      <c r="Z174" s="193"/>
      <c r="AA174" s="95">
        <v>2782</v>
      </c>
    </row>
    <row r="175" spans="1:27" x14ac:dyDescent="0.3">
      <c r="A175" s="88" t="s">
        <v>128</v>
      </c>
      <c r="B175" s="88" t="s">
        <v>34</v>
      </c>
      <c r="C175" s="88" t="s">
        <v>462</v>
      </c>
      <c r="D175" s="145" t="s">
        <v>155</v>
      </c>
      <c r="E175" s="89" t="s">
        <v>5</v>
      </c>
      <c r="F175" s="89" t="str">
        <f t="shared" si="48"/>
        <v>Healthnet Classic Plan-1-AUH Abu Dhabi 76-80 Male</v>
      </c>
      <c r="G175" s="19" t="str">
        <f t="shared" si="54"/>
        <v>Classic Plan-1-AUH 76-80 Male</v>
      </c>
      <c r="H175" s="36">
        <f t="shared" si="42"/>
        <v>33973</v>
      </c>
      <c r="I175" s="151">
        <v>54.6</v>
      </c>
      <c r="J175" s="36">
        <v>25427</v>
      </c>
      <c r="K175" s="36">
        <f t="shared" si="53"/>
        <v>27970</v>
      </c>
      <c r="L175" s="36">
        <v>173</v>
      </c>
      <c r="M175" s="36">
        <f t="shared" si="43"/>
        <v>28198</v>
      </c>
      <c r="N175" s="36" t="s">
        <v>384</v>
      </c>
      <c r="O175" s="170" t="str">
        <f t="shared" si="46"/>
        <v>Classic Plan-1-AUH</v>
      </c>
      <c r="X175" s="94" t="s">
        <v>158</v>
      </c>
      <c r="Y175" s="94" t="s">
        <v>7</v>
      </c>
      <c r="Z175" s="193"/>
      <c r="AA175" s="95">
        <v>5030</v>
      </c>
    </row>
    <row r="176" spans="1:27" x14ac:dyDescent="0.3">
      <c r="A176" s="88" t="s">
        <v>128</v>
      </c>
      <c r="B176" s="88" t="s">
        <v>34</v>
      </c>
      <c r="C176" s="88" t="s">
        <v>462</v>
      </c>
      <c r="D176" s="144" t="s">
        <v>45</v>
      </c>
      <c r="E176" s="89" t="s">
        <v>7</v>
      </c>
      <c r="F176" s="89" t="str">
        <f t="shared" si="48"/>
        <v>Healthnet Classic Plan-1-AUH Abu Dhabi 00-17 Female</v>
      </c>
      <c r="G176" s="19" t="str">
        <f t="shared" si="54"/>
        <v>Classic Plan-1-AUH 00-17 Female</v>
      </c>
      <c r="H176" s="36">
        <f t="shared" si="42"/>
        <v>5659</v>
      </c>
      <c r="I176" s="151">
        <v>54.6</v>
      </c>
      <c r="J176" s="36">
        <v>3724</v>
      </c>
      <c r="K176" s="36">
        <f t="shared" ref="K176:K181" si="55">J176+(J176*20%)</f>
        <v>4469</v>
      </c>
      <c r="L176" s="36">
        <v>173</v>
      </c>
      <c r="M176" s="36">
        <f t="shared" si="43"/>
        <v>4697</v>
      </c>
      <c r="N176" s="36" t="s">
        <v>384</v>
      </c>
      <c r="O176" s="170" t="str">
        <f t="shared" si="46"/>
        <v>Classic Plan-1-AUH</v>
      </c>
      <c r="X176" s="94" t="s">
        <v>159</v>
      </c>
      <c r="Y176" s="94" t="s">
        <v>7</v>
      </c>
      <c r="Z176" s="193"/>
      <c r="AA176" s="95">
        <v>9604</v>
      </c>
    </row>
    <row r="177" spans="1:27" x14ac:dyDescent="0.3">
      <c r="A177" s="88" t="s">
        <v>128</v>
      </c>
      <c r="B177" s="88" t="s">
        <v>34</v>
      </c>
      <c r="C177" s="88" t="s">
        <v>462</v>
      </c>
      <c r="D177" s="145" t="s">
        <v>509</v>
      </c>
      <c r="E177" s="89" t="s">
        <v>7</v>
      </c>
      <c r="F177" s="89" t="str">
        <f t="shared" si="48"/>
        <v>Healthnet Classic Plan-1-AUH Abu Dhabi 18-40 Female</v>
      </c>
      <c r="G177" s="19" t="str">
        <f t="shared" si="54"/>
        <v>Classic Plan-1-AUH 18-40 Female</v>
      </c>
      <c r="H177" s="36">
        <f t="shared" si="42"/>
        <v>6671</v>
      </c>
      <c r="I177" s="151">
        <v>54.6</v>
      </c>
      <c r="J177" s="36">
        <v>4424</v>
      </c>
      <c r="K177" s="36">
        <f t="shared" si="55"/>
        <v>5309</v>
      </c>
      <c r="L177" s="36">
        <v>173</v>
      </c>
      <c r="M177" s="36">
        <f t="shared" si="43"/>
        <v>5537</v>
      </c>
      <c r="N177" s="36" t="s">
        <v>384</v>
      </c>
      <c r="O177" s="170" t="str">
        <f t="shared" si="46"/>
        <v>Classic Plan-1-AUH</v>
      </c>
      <c r="X177" s="94" t="s">
        <v>160</v>
      </c>
      <c r="Y177" s="94" t="s">
        <v>7</v>
      </c>
      <c r="Z177" s="193"/>
      <c r="AA177" s="95">
        <v>12485</v>
      </c>
    </row>
    <row r="178" spans="1:27" x14ac:dyDescent="0.3">
      <c r="A178" s="88" t="s">
        <v>128</v>
      </c>
      <c r="B178" s="88" t="s">
        <v>34</v>
      </c>
      <c r="C178" s="88" t="s">
        <v>462</v>
      </c>
      <c r="D178" s="144" t="s">
        <v>510</v>
      </c>
      <c r="E178" s="89" t="s">
        <v>7</v>
      </c>
      <c r="F178" s="89" t="str">
        <f t="shared" si="48"/>
        <v>Healthnet Classic Plan-1-AUH Abu Dhabi 41-59 Female</v>
      </c>
      <c r="G178" s="19" t="str">
        <f t="shared" si="54"/>
        <v>Classic Plan-1-AUH 41-59 Female</v>
      </c>
      <c r="H178" s="36">
        <f t="shared" si="42"/>
        <v>11117</v>
      </c>
      <c r="I178" s="151">
        <v>54.6</v>
      </c>
      <c r="J178" s="36">
        <v>7499</v>
      </c>
      <c r="K178" s="36">
        <f t="shared" si="55"/>
        <v>8999</v>
      </c>
      <c r="L178" s="36">
        <v>173</v>
      </c>
      <c r="M178" s="36">
        <f t="shared" si="43"/>
        <v>9227</v>
      </c>
      <c r="N178" s="36" t="s">
        <v>384</v>
      </c>
      <c r="O178" s="170" t="str">
        <f t="shared" ref="O178:O209" si="56">C178</f>
        <v>Classic Plan-1-AUH</v>
      </c>
      <c r="X178" s="94" t="s">
        <v>441</v>
      </c>
      <c r="Y178" s="94" t="s">
        <v>7</v>
      </c>
      <c r="Z178" s="193"/>
      <c r="AA178" s="95">
        <v>16231</v>
      </c>
    </row>
    <row r="179" spans="1:27" x14ac:dyDescent="0.3">
      <c r="A179" s="88" t="s">
        <v>128</v>
      </c>
      <c r="B179" s="88" t="s">
        <v>34</v>
      </c>
      <c r="C179" s="88" t="s">
        <v>462</v>
      </c>
      <c r="D179" s="145" t="s">
        <v>511</v>
      </c>
      <c r="E179" s="89" t="s">
        <v>7</v>
      </c>
      <c r="F179" s="89" t="str">
        <f t="shared" si="48"/>
        <v>Healthnet Classic Plan-1-AUH Abu Dhabi 60-69 Female</v>
      </c>
      <c r="G179" s="19" t="str">
        <f t="shared" si="54"/>
        <v>Classic Plan-1-AUH 60-69 Female</v>
      </c>
      <c r="H179" s="36">
        <f t="shared" si="42"/>
        <v>22027</v>
      </c>
      <c r="I179" s="151">
        <v>54.6</v>
      </c>
      <c r="J179" s="36">
        <v>15045</v>
      </c>
      <c r="K179" s="36">
        <f t="shared" si="55"/>
        <v>18054</v>
      </c>
      <c r="L179" s="36">
        <v>173</v>
      </c>
      <c r="M179" s="36">
        <f t="shared" si="43"/>
        <v>18282</v>
      </c>
      <c r="N179" s="36" t="s">
        <v>384</v>
      </c>
      <c r="O179" s="170" t="str">
        <f t="shared" si="56"/>
        <v>Classic Plan-1-AUH</v>
      </c>
      <c r="X179" s="94" t="s">
        <v>156</v>
      </c>
      <c r="Y179" s="94" t="s">
        <v>5</v>
      </c>
      <c r="Z179" s="193" t="s">
        <v>387</v>
      </c>
      <c r="AA179" s="95">
        <v>1775</v>
      </c>
    </row>
    <row r="180" spans="1:27" x14ac:dyDescent="0.3">
      <c r="A180" s="88" t="s">
        <v>128</v>
      </c>
      <c r="B180" s="88" t="s">
        <v>34</v>
      </c>
      <c r="C180" s="88" t="s">
        <v>462</v>
      </c>
      <c r="D180" s="144" t="s">
        <v>154</v>
      </c>
      <c r="E180" s="89" t="s">
        <v>7</v>
      </c>
      <c r="F180" s="89" t="str">
        <f t="shared" si="48"/>
        <v>Healthnet Classic Plan-1-AUH Abu Dhabi 70-75 Female</v>
      </c>
      <c r="G180" s="19" t="str">
        <f t="shared" si="54"/>
        <v>Classic Plan-1-AUH 70-75 Female</v>
      </c>
      <c r="H180" s="36">
        <f t="shared" si="42"/>
        <v>28553</v>
      </c>
      <c r="I180" s="151">
        <v>54.6</v>
      </c>
      <c r="J180" s="36">
        <v>19559</v>
      </c>
      <c r="K180" s="36">
        <f t="shared" si="55"/>
        <v>23471</v>
      </c>
      <c r="L180" s="36">
        <v>173</v>
      </c>
      <c r="M180" s="36">
        <f t="shared" si="43"/>
        <v>23699</v>
      </c>
      <c r="N180" s="36" t="s">
        <v>384</v>
      </c>
      <c r="O180" s="170" t="str">
        <f t="shared" si="56"/>
        <v>Classic Plan-1-AUH</v>
      </c>
      <c r="X180" s="94" t="s">
        <v>157</v>
      </c>
      <c r="Y180" s="94" t="s">
        <v>5</v>
      </c>
      <c r="Z180" s="193"/>
      <c r="AA180" s="95">
        <v>2100</v>
      </c>
    </row>
    <row r="181" spans="1:27" x14ac:dyDescent="0.3">
      <c r="A181" s="88" t="s">
        <v>128</v>
      </c>
      <c r="B181" s="88" t="s">
        <v>34</v>
      </c>
      <c r="C181" s="88" t="s">
        <v>462</v>
      </c>
      <c r="D181" s="145" t="s">
        <v>155</v>
      </c>
      <c r="E181" s="89" t="s">
        <v>7</v>
      </c>
      <c r="F181" s="89" t="str">
        <f t="shared" si="48"/>
        <v>Healthnet Classic Plan-1-AUH Abu Dhabi 76-80 Female</v>
      </c>
      <c r="G181" s="19" t="str">
        <f t="shared" si="54"/>
        <v>Classic Plan-1-AUH 76-80 Female</v>
      </c>
      <c r="H181" s="36">
        <f t="shared" si="42"/>
        <v>37036</v>
      </c>
      <c r="I181" s="151">
        <v>54.6</v>
      </c>
      <c r="J181" s="36">
        <v>25427</v>
      </c>
      <c r="K181" s="36">
        <f t="shared" si="55"/>
        <v>30512</v>
      </c>
      <c r="L181" s="36">
        <v>173</v>
      </c>
      <c r="M181" s="36">
        <f t="shared" si="43"/>
        <v>30740</v>
      </c>
      <c r="N181" s="36" t="s">
        <v>384</v>
      </c>
      <c r="O181" s="170" t="str">
        <f t="shared" si="56"/>
        <v>Classic Plan-1-AUH</v>
      </c>
      <c r="X181" s="94" t="s">
        <v>158</v>
      </c>
      <c r="Y181" s="94" t="s">
        <v>5</v>
      </c>
      <c r="Z181" s="193"/>
      <c r="AA181" s="95">
        <v>4650</v>
      </c>
    </row>
    <row r="182" spans="1:27" x14ac:dyDescent="0.3">
      <c r="A182" s="88" t="s">
        <v>128</v>
      </c>
      <c r="B182" s="88" t="s">
        <v>34</v>
      </c>
      <c r="C182" s="88" t="s">
        <v>463</v>
      </c>
      <c r="D182" s="144" t="s">
        <v>45</v>
      </c>
      <c r="E182" s="89" t="s">
        <v>5</v>
      </c>
      <c r="F182" s="89" t="str">
        <f t="shared" si="48"/>
        <v>Healthnet Classic Plan-2-AUH Abu Dhabi 00-17 Male</v>
      </c>
      <c r="G182" s="19" t="str">
        <f t="shared" si="54"/>
        <v>Classic Plan-2-AUH 00-17 Male</v>
      </c>
      <c r="H182" s="36">
        <f t="shared" si="42"/>
        <v>3901</v>
      </c>
      <c r="I182" s="151">
        <v>54.6</v>
      </c>
      <c r="J182" s="36">
        <v>2813</v>
      </c>
      <c r="K182" s="36">
        <f t="shared" ref="K182:K187" si="57">J182+(J182*10%)</f>
        <v>3094</v>
      </c>
      <c r="L182" s="36">
        <v>89</v>
      </c>
      <c r="M182" s="36">
        <f t="shared" si="43"/>
        <v>3238</v>
      </c>
      <c r="N182" s="36" t="s">
        <v>385</v>
      </c>
      <c r="O182" s="170" t="str">
        <f t="shared" si="56"/>
        <v>Classic Plan-2-AUH</v>
      </c>
      <c r="X182" s="94"/>
      <c r="Y182" s="94"/>
      <c r="Z182" s="193"/>
      <c r="AA182" s="95"/>
    </row>
    <row r="183" spans="1:27" x14ac:dyDescent="0.3">
      <c r="A183" s="88" t="s">
        <v>128</v>
      </c>
      <c r="B183" s="88" t="s">
        <v>34</v>
      </c>
      <c r="C183" s="88" t="s">
        <v>463</v>
      </c>
      <c r="D183" s="145" t="s">
        <v>509</v>
      </c>
      <c r="E183" s="89" t="s">
        <v>5</v>
      </c>
      <c r="F183" s="89" t="str">
        <f t="shared" si="48"/>
        <v>Healthnet Classic Plan-2-AUH Abu Dhabi 18-40 Male</v>
      </c>
      <c r="G183" s="19" t="str">
        <f t="shared" si="54"/>
        <v>Classic Plan-2-AUH 18-40 Male</v>
      </c>
      <c r="H183" s="36">
        <f t="shared" si="42"/>
        <v>4577</v>
      </c>
      <c r="I183" s="151">
        <v>54.6</v>
      </c>
      <c r="J183" s="36">
        <v>3323</v>
      </c>
      <c r="K183" s="36">
        <f t="shared" si="57"/>
        <v>3655</v>
      </c>
      <c r="L183" s="36">
        <v>89</v>
      </c>
      <c r="M183" s="36">
        <f t="shared" si="43"/>
        <v>3799</v>
      </c>
      <c r="N183" s="36" t="s">
        <v>385</v>
      </c>
      <c r="O183" s="170" t="str">
        <f t="shared" si="56"/>
        <v>Classic Plan-2-AUH</v>
      </c>
      <c r="X183" s="94"/>
      <c r="Y183" s="94"/>
      <c r="Z183" s="193"/>
      <c r="AA183" s="95"/>
    </row>
    <row r="184" spans="1:27" x14ac:dyDescent="0.3">
      <c r="A184" s="88" t="s">
        <v>128</v>
      </c>
      <c r="B184" s="88" t="s">
        <v>34</v>
      </c>
      <c r="C184" s="88" t="s">
        <v>463</v>
      </c>
      <c r="D184" s="144" t="s">
        <v>510</v>
      </c>
      <c r="E184" s="89" t="s">
        <v>5</v>
      </c>
      <c r="F184" s="89" t="str">
        <f t="shared" si="48"/>
        <v>Healthnet Classic Plan-2-AUH Abu Dhabi 41-59 Male</v>
      </c>
      <c r="G184" s="19" t="str">
        <f t="shared" si="54"/>
        <v>Classic Plan-2-AUH 41-59 Male</v>
      </c>
      <c r="H184" s="36">
        <f t="shared" si="42"/>
        <v>7555</v>
      </c>
      <c r="I184" s="151">
        <v>54.6</v>
      </c>
      <c r="J184" s="36">
        <v>5570</v>
      </c>
      <c r="K184" s="36">
        <f t="shared" si="57"/>
        <v>6127</v>
      </c>
      <c r="L184" s="36">
        <v>89</v>
      </c>
      <c r="M184" s="36">
        <f t="shared" si="43"/>
        <v>6271</v>
      </c>
      <c r="N184" s="36" t="s">
        <v>385</v>
      </c>
      <c r="O184" s="170" t="str">
        <f t="shared" si="56"/>
        <v>Classic Plan-2-AUH</v>
      </c>
      <c r="X184" s="94"/>
      <c r="Y184" s="94"/>
      <c r="Z184" s="193"/>
      <c r="AA184" s="95"/>
    </row>
    <row r="185" spans="1:27" x14ac:dyDescent="0.3">
      <c r="A185" s="88" t="s">
        <v>128</v>
      </c>
      <c r="B185" s="88" t="s">
        <v>34</v>
      </c>
      <c r="C185" s="88" t="s">
        <v>463</v>
      </c>
      <c r="D185" s="145" t="s">
        <v>511</v>
      </c>
      <c r="E185" s="89" t="s">
        <v>5</v>
      </c>
      <c r="F185" s="89" t="str">
        <f t="shared" si="48"/>
        <v>Healthnet Classic Plan-2-AUH Abu Dhabi 60-69 Male</v>
      </c>
      <c r="G185" s="19" t="str">
        <f>CONCATENATE(C185," ",D185," ",E185)</f>
        <v>Classic Plan-2-AUH 60-69 Male</v>
      </c>
      <c r="H185" s="36">
        <f t="shared" si="42"/>
        <v>14789</v>
      </c>
      <c r="I185" s="151">
        <v>54.6</v>
      </c>
      <c r="J185" s="36">
        <v>11028</v>
      </c>
      <c r="K185" s="36">
        <f t="shared" si="57"/>
        <v>12131</v>
      </c>
      <c r="L185" s="36">
        <v>89</v>
      </c>
      <c r="M185" s="36">
        <f t="shared" si="43"/>
        <v>12275</v>
      </c>
      <c r="N185" s="36" t="s">
        <v>385</v>
      </c>
      <c r="O185" s="170" t="str">
        <f t="shared" si="56"/>
        <v>Classic Plan-2-AUH</v>
      </c>
      <c r="X185" s="94"/>
      <c r="Y185" s="94"/>
      <c r="Z185" s="193"/>
      <c r="AA185" s="95"/>
    </row>
    <row r="186" spans="1:27" x14ac:dyDescent="0.3">
      <c r="A186" s="88" t="s">
        <v>128</v>
      </c>
      <c r="B186" s="88" t="s">
        <v>34</v>
      </c>
      <c r="C186" s="88" t="s">
        <v>463</v>
      </c>
      <c r="D186" s="144" t="s">
        <v>154</v>
      </c>
      <c r="E186" s="89" t="s">
        <v>5</v>
      </c>
      <c r="F186" s="89" t="str">
        <f t="shared" si="48"/>
        <v>Healthnet Classic Plan-2-AUH Abu Dhabi 70-75 Male</v>
      </c>
      <c r="G186" s="19" t="str">
        <f t="shared" ref="G186:G196" si="58">CONCATENATE(C186," ",D186," ",E186)</f>
        <v>Classic Plan-2-AUH 70-75 Male</v>
      </c>
      <c r="H186" s="36">
        <f t="shared" si="42"/>
        <v>19173</v>
      </c>
      <c r="I186" s="151">
        <v>54.6</v>
      </c>
      <c r="J186" s="36">
        <v>14336</v>
      </c>
      <c r="K186" s="36">
        <f t="shared" si="57"/>
        <v>15770</v>
      </c>
      <c r="L186" s="36">
        <v>89</v>
      </c>
      <c r="M186" s="36">
        <f t="shared" si="43"/>
        <v>15914</v>
      </c>
      <c r="N186" s="36" t="s">
        <v>385</v>
      </c>
      <c r="O186" s="170" t="str">
        <f t="shared" si="56"/>
        <v>Classic Plan-2-AUH</v>
      </c>
      <c r="X186" s="94" t="s">
        <v>159</v>
      </c>
      <c r="Y186" s="94" t="s">
        <v>7</v>
      </c>
      <c r="Z186" s="193"/>
      <c r="AA186" s="95">
        <v>9077</v>
      </c>
    </row>
    <row r="187" spans="1:27" x14ac:dyDescent="0.3">
      <c r="A187" s="88" t="s">
        <v>128</v>
      </c>
      <c r="B187" s="88" t="s">
        <v>34</v>
      </c>
      <c r="C187" s="88" t="s">
        <v>463</v>
      </c>
      <c r="D187" s="145" t="s">
        <v>155</v>
      </c>
      <c r="E187" s="89" t="s">
        <v>5</v>
      </c>
      <c r="F187" s="89" t="str">
        <f t="shared" si="48"/>
        <v>Healthnet Classic Plan-2-AUH Abu Dhabi 76-80 Male</v>
      </c>
      <c r="G187" s="19" t="str">
        <f t="shared" si="58"/>
        <v>Classic Plan-2-AUH 76-80 Male</v>
      </c>
      <c r="H187" s="36">
        <f t="shared" si="42"/>
        <v>24872</v>
      </c>
      <c r="I187" s="151">
        <v>54.6</v>
      </c>
      <c r="J187" s="36">
        <v>18636</v>
      </c>
      <c r="K187" s="36">
        <f t="shared" si="57"/>
        <v>20500</v>
      </c>
      <c r="L187" s="36">
        <v>89</v>
      </c>
      <c r="M187" s="36">
        <f t="shared" si="43"/>
        <v>20644</v>
      </c>
      <c r="N187" s="36" t="s">
        <v>385</v>
      </c>
      <c r="O187" s="170" t="str">
        <f t="shared" si="56"/>
        <v>Classic Plan-2-AUH</v>
      </c>
      <c r="X187" s="94" t="s">
        <v>160</v>
      </c>
      <c r="Y187" s="94" t="s">
        <v>7</v>
      </c>
      <c r="Z187" s="193"/>
      <c r="AA187" s="95">
        <v>11801</v>
      </c>
    </row>
    <row r="188" spans="1:27" x14ac:dyDescent="0.3">
      <c r="A188" s="88" t="s">
        <v>128</v>
      </c>
      <c r="B188" s="88" t="s">
        <v>34</v>
      </c>
      <c r="C188" s="88" t="s">
        <v>463</v>
      </c>
      <c r="D188" s="144" t="s">
        <v>45</v>
      </c>
      <c r="E188" s="89" t="s">
        <v>7</v>
      </c>
      <c r="F188" s="89" t="str">
        <f t="shared" si="48"/>
        <v>Healthnet Classic Plan-2-AUH Abu Dhabi 00-17 Female</v>
      </c>
      <c r="G188" s="19" t="str">
        <f t="shared" si="58"/>
        <v>Classic Plan-2-AUH 00-17 Female</v>
      </c>
      <c r="H188" s="36">
        <f t="shared" si="42"/>
        <v>4241</v>
      </c>
      <c r="I188" s="151">
        <v>54.6</v>
      </c>
      <c r="J188" s="36">
        <v>2813</v>
      </c>
      <c r="K188" s="36">
        <f t="shared" ref="K188:K193" si="59">J188+(J188*20%)</f>
        <v>3376</v>
      </c>
      <c r="L188" s="36">
        <v>89</v>
      </c>
      <c r="M188" s="36">
        <f t="shared" si="43"/>
        <v>3520</v>
      </c>
      <c r="N188" s="36" t="s">
        <v>385</v>
      </c>
      <c r="O188" s="170" t="str">
        <f t="shared" si="56"/>
        <v>Classic Plan-2-AUH</v>
      </c>
      <c r="X188" s="94" t="s">
        <v>441</v>
      </c>
      <c r="Y188" s="94" t="s">
        <v>7</v>
      </c>
      <c r="Z188" s="193"/>
      <c r="AA188" s="95">
        <v>15342</v>
      </c>
    </row>
    <row r="189" spans="1:27" x14ac:dyDescent="0.3">
      <c r="A189" s="88" t="s">
        <v>128</v>
      </c>
      <c r="B189" s="88" t="s">
        <v>34</v>
      </c>
      <c r="C189" s="88" t="s">
        <v>463</v>
      </c>
      <c r="D189" s="145" t="s">
        <v>509</v>
      </c>
      <c r="E189" s="89" t="s">
        <v>7</v>
      </c>
      <c r="F189" s="89" t="str">
        <f t="shared" si="48"/>
        <v>Healthnet Classic Plan-2-AUH Abu Dhabi 18-40 Female</v>
      </c>
      <c r="G189" s="19" t="str">
        <f t="shared" si="58"/>
        <v>Classic Plan-2-AUH 18-40 Female</v>
      </c>
      <c r="H189" s="36">
        <f t="shared" si="42"/>
        <v>4978</v>
      </c>
      <c r="I189" s="151">
        <v>54.6</v>
      </c>
      <c r="J189" s="36">
        <v>3323</v>
      </c>
      <c r="K189" s="36">
        <f t="shared" si="59"/>
        <v>3988</v>
      </c>
      <c r="L189" s="36">
        <v>89</v>
      </c>
      <c r="M189" s="36">
        <f t="shared" si="43"/>
        <v>4132</v>
      </c>
      <c r="N189" s="36" t="s">
        <v>385</v>
      </c>
      <c r="O189" s="170" t="str">
        <f t="shared" si="56"/>
        <v>Classic Plan-2-AUH</v>
      </c>
    </row>
    <row r="190" spans="1:27" x14ac:dyDescent="0.3">
      <c r="A190" s="88" t="s">
        <v>128</v>
      </c>
      <c r="B190" s="88" t="s">
        <v>34</v>
      </c>
      <c r="C190" s="88" t="s">
        <v>463</v>
      </c>
      <c r="D190" s="144" t="s">
        <v>510</v>
      </c>
      <c r="E190" s="89" t="s">
        <v>7</v>
      </c>
      <c r="F190" s="89" t="str">
        <f t="shared" si="48"/>
        <v>Healthnet Classic Plan-2-AUH Abu Dhabi 41-59 Female</v>
      </c>
      <c r="G190" s="19" t="str">
        <f t="shared" si="58"/>
        <v>Classic Plan-2-AUH 41-59 Female</v>
      </c>
      <c r="H190" s="36">
        <f t="shared" si="42"/>
        <v>8227</v>
      </c>
      <c r="I190" s="151">
        <v>54.6</v>
      </c>
      <c r="J190" s="36">
        <v>5570</v>
      </c>
      <c r="K190" s="36">
        <f t="shared" si="59"/>
        <v>6684</v>
      </c>
      <c r="L190" s="36">
        <v>89</v>
      </c>
      <c r="M190" s="36">
        <f t="shared" si="43"/>
        <v>6828</v>
      </c>
      <c r="N190" s="36" t="s">
        <v>385</v>
      </c>
      <c r="O190" s="170" t="str">
        <f t="shared" si="56"/>
        <v>Classic Plan-2-AUH</v>
      </c>
    </row>
    <row r="191" spans="1:27" x14ac:dyDescent="0.3">
      <c r="A191" s="88" t="s">
        <v>128</v>
      </c>
      <c r="B191" s="88" t="s">
        <v>34</v>
      </c>
      <c r="C191" s="88" t="s">
        <v>463</v>
      </c>
      <c r="D191" s="145" t="s">
        <v>511</v>
      </c>
      <c r="E191" s="89" t="s">
        <v>7</v>
      </c>
      <c r="F191" s="89" t="str">
        <f t="shared" si="48"/>
        <v>Healthnet Classic Plan-2-AUH Abu Dhabi 60-69 Female</v>
      </c>
      <c r="G191" s="19" t="str">
        <f t="shared" si="58"/>
        <v>Classic Plan-2-AUH 60-69 Female</v>
      </c>
      <c r="H191" s="36">
        <f t="shared" si="42"/>
        <v>16118</v>
      </c>
      <c r="I191" s="151">
        <v>54.6</v>
      </c>
      <c r="J191" s="36">
        <v>11028</v>
      </c>
      <c r="K191" s="36">
        <f t="shared" si="59"/>
        <v>13234</v>
      </c>
      <c r="L191" s="36">
        <v>89</v>
      </c>
      <c r="M191" s="36">
        <f t="shared" si="43"/>
        <v>13378</v>
      </c>
      <c r="N191" s="36" t="s">
        <v>385</v>
      </c>
      <c r="O191" s="170" t="str">
        <f t="shared" si="56"/>
        <v>Classic Plan-2-AUH</v>
      </c>
    </row>
    <row r="192" spans="1:27" x14ac:dyDescent="0.3">
      <c r="A192" s="88" t="s">
        <v>128</v>
      </c>
      <c r="B192" s="88" t="s">
        <v>34</v>
      </c>
      <c r="C192" s="88" t="s">
        <v>463</v>
      </c>
      <c r="D192" s="144" t="s">
        <v>154</v>
      </c>
      <c r="E192" s="89" t="s">
        <v>7</v>
      </c>
      <c r="F192" s="89" t="str">
        <f t="shared" si="48"/>
        <v>Healthnet Classic Plan-2-AUH Abu Dhabi 70-75 Female</v>
      </c>
      <c r="G192" s="19" t="str">
        <f t="shared" si="58"/>
        <v>Classic Plan-2-AUH 70-75 Female</v>
      </c>
      <c r="H192" s="36">
        <f t="shared" si="42"/>
        <v>20900</v>
      </c>
      <c r="I192" s="151">
        <v>54.6</v>
      </c>
      <c r="J192" s="36">
        <v>14336</v>
      </c>
      <c r="K192" s="36">
        <f t="shared" si="59"/>
        <v>17203</v>
      </c>
      <c r="L192" s="36">
        <v>89</v>
      </c>
      <c r="M192" s="36">
        <f t="shared" si="43"/>
        <v>17347</v>
      </c>
      <c r="N192" s="36" t="s">
        <v>385</v>
      </c>
      <c r="O192" s="170" t="str">
        <f t="shared" si="56"/>
        <v>Classic Plan-2-AUH</v>
      </c>
    </row>
    <row r="193" spans="1:15" x14ac:dyDescent="0.3">
      <c r="A193" s="88" t="s">
        <v>128</v>
      </c>
      <c r="B193" s="88" t="s">
        <v>34</v>
      </c>
      <c r="C193" s="88" t="s">
        <v>463</v>
      </c>
      <c r="D193" s="145" t="s">
        <v>155</v>
      </c>
      <c r="E193" s="89" t="s">
        <v>7</v>
      </c>
      <c r="F193" s="89" t="str">
        <f t="shared" si="48"/>
        <v>Healthnet Classic Plan-2-AUH Abu Dhabi 76-80 Female</v>
      </c>
      <c r="G193" s="19" t="str">
        <f t="shared" si="58"/>
        <v>Classic Plan-2-AUH 76-80 Female</v>
      </c>
      <c r="H193" s="36">
        <f t="shared" ref="H193:H217" si="60">ROUND(M193/(1-$H$4),0)</f>
        <v>27117</v>
      </c>
      <c r="I193" s="151">
        <v>54.6</v>
      </c>
      <c r="J193" s="36">
        <v>18636</v>
      </c>
      <c r="K193" s="36">
        <f t="shared" si="59"/>
        <v>22363</v>
      </c>
      <c r="L193" s="36">
        <v>89</v>
      </c>
      <c r="M193" s="36">
        <f t="shared" si="43"/>
        <v>22507</v>
      </c>
      <c r="N193" s="36" t="s">
        <v>385</v>
      </c>
      <c r="O193" s="170" t="str">
        <f t="shared" si="56"/>
        <v>Classic Plan-2-AUH</v>
      </c>
    </row>
    <row r="194" spans="1:15" x14ac:dyDescent="0.3">
      <c r="A194" s="88" t="s">
        <v>128</v>
      </c>
      <c r="B194" s="88" t="s">
        <v>34</v>
      </c>
      <c r="C194" s="88" t="s">
        <v>464</v>
      </c>
      <c r="D194" s="144" t="s">
        <v>45</v>
      </c>
      <c r="E194" s="89" t="s">
        <v>5</v>
      </c>
      <c r="F194" s="89" t="str">
        <f t="shared" si="48"/>
        <v>Healthnet Classic Plan-3-AUH Abu Dhabi 00-17 Male</v>
      </c>
      <c r="G194" s="19" t="str">
        <f t="shared" si="58"/>
        <v>Classic Plan-3-AUH 00-17 Male</v>
      </c>
      <c r="H194" s="36">
        <f t="shared" si="60"/>
        <v>3310</v>
      </c>
      <c r="I194" s="151">
        <v>54.6</v>
      </c>
      <c r="J194" s="36">
        <v>2366</v>
      </c>
      <c r="K194" s="36">
        <f t="shared" ref="K194:K199" si="61">J194+(J194*10%)</f>
        <v>2603</v>
      </c>
      <c r="L194" s="36">
        <v>89</v>
      </c>
      <c r="M194" s="36">
        <f t="shared" si="43"/>
        <v>2747</v>
      </c>
      <c r="N194" s="36" t="s">
        <v>386</v>
      </c>
      <c r="O194" s="170" t="str">
        <f t="shared" si="56"/>
        <v>Classic Plan-3-AUH</v>
      </c>
    </row>
    <row r="195" spans="1:15" x14ac:dyDescent="0.3">
      <c r="A195" s="88" t="s">
        <v>128</v>
      </c>
      <c r="B195" s="88" t="s">
        <v>34</v>
      </c>
      <c r="C195" s="88" t="s">
        <v>464</v>
      </c>
      <c r="D195" s="145" t="s">
        <v>509</v>
      </c>
      <c r="E195" s="89" t="s">
        <v>5</v>
      </c>
      <c r="F195" s="89" t="str">
        <f t="shared" si="48"/>
        <v>Healthnet Classic Plan-3-AUH Abu Dhabi 18-40 Male</v>
      </c>
      <c r="G195" s="19" t="str">
        <f t="shared" si="58"/>
        <v>Classic Plan-3-AUH 18-40 Male</v>
      </c>
      <c r="H195" s="36">
        <f t="shared" si="60"/>
        <v>3860</v>
      </c>
      <c r="I195" s="151">
        <v>54.6</v>
      </c>
      <c r="J195" s="36">
        <v>2782</v>
      </c>
      <c r="K195" s="36">
        <f t="shared" si="61"/>
        <v>3060</v>
      </c>
      <c r="L195" s="36">
        <v>89</v>
      </c>
      <c r="M195" s="36">
        <f t="shared" si="43"/>
        <v>3204</v>
      </c>
      <c r="N195" s="36" t="s">
        <v>386</v>
      </c>
      <c r="O195" s="170" t="str">
        <f t="shared" si="56"/>
        <v>Classic Plan-3-AUH</v>
      </c>
    </row>
    <row r="196" spans="1:15" x14ac:dyDescent="0.3">
      <c r="A196" s="88" t="s">
        <v>128</v>
      </c>
      <c r="B196" s="88" t="s">
        <v>34</v>
      </c>
      <c r="C196" s="88" t="s">
        <v>464</v>
      </c>
      <c r="D196" s="144" t="s">
        <v>510</v>
      </c>
      <c r="E196" s="89" t="s">
        <v>5</v>
      </c>
      <c r="F196" s="89" t="str">
        <f t="shared" si="48"/>
        <v>Healthnet Classic Plan-3-AUH Abu Dhabi 41-59 Male</v>
      </c>
      <c r="G196" s="19" t="str">
        <f t="shared" si="58"/>
        <v>Classic Plan-3-AUH 41-59 Male</v>
      </c>
      <c r="H196" s="36">
        <f t="shared" si="60"/>
        <v>6840</v>
      </c>
      <c r="I196" s="151">
        <v>54.6</v>
      </c>
      <c r="J196" s="36">
        <v>5030</v>
      </c>
      <c r="K196" s="36">
        <f t="shared" si="61"/>
        <v>5533</v>
      </c>
      <c r="L196" s="36">
        <v>89</v>
      </c>
      <c r="M196" s="36">
        <f t="shared" si="43"/>
        <v>5677</v>
      </c>
      <c r="N196" s="36" t="s">
        <v>386</v>
      </c>
      <c r="O196" s="170" t="str">
        <f t="shared" si="56"/>
        <v>Classic Plan-3-AUH</v>
      </c>
    </row>
    <row r="197" spans="1:15" x14ac:dyDescent="0.3">
      <c r="A197" s="88" t="s">
        <v>128</v>
      </c>
      <c r="B197" s="88" t="s">
        <v>34</v>
      </c>
      <c r="C197" s="88" t="s">
        <v>464</v>
      </c>
      <c r="D197" s="145" t="s">
        <v>511</v>
      </c>
      <c r="E197" s="89" t="s">
        <v>5</v>
      </c>
      <c r="F197" s="89" t="str">
        <f t="shared" si="48"/>
        <v>Healthnet Classic Plan-3-AUH Abu Dhabi 60-69 Male</v>
      </c>
      <c r="G197" s="19" t="str">
        <f>CONCATENATE(C197," ",D197," ",E197)</f>
        <v>Classic Plan-3-AUH 60-69 Male</v>
      </c>
      <c r="H197" s="36">
        <f t="shared" si="60"/>
        <v>12901</v>
      </c>
      <c r="I197" s="151">
        <v>54.6</v>
      </c>
      <c r="J197" s="36">
        <v>9604</v>
      </c>
      <c r="K197" s="36">
        <f t="shared" si="61"/>
        <v>10564</v>
      </c>
      <c r="L197" s="36">
        <v>89</v>
      </c>
      <c r="M197" s="36">
        <f t="shared" si="43"/>
        <v>10708</v>
      </c>
      <c r="N197" s="36" t="s">
        <v>386</v>
      </c>
      <c r="O197" s="170" t="str">
        <f t="shared" si="56"/>
        <v>Classic Plan-3-AUH</v>
      </c>
    </row>
    <row r="198" spans="1:15" x14ac:dyDescent="0.3">
      <c r="A198" s="88" t="s">
        <v>128</v>
      </c>
      <c r="B198" s="88" t="s">
        <v>34</v>
      </c>
      <c r="C198" s="88" t="s">
        <v>464</v>
      </c>
      <c r="D198" s="144" t="s">
        <v>154</v>
      </c>
      <c r="E198" s="89" t="s">
        <v>5</v>
      </c>
      <c r="F198" s="89" t="str">
        <f t="shared" si="48"/>
        <v>Healthnet Classic Plan-3-AUH Abu Dhabi 70-75 Male</v>
      </c>
      <c r="G198" s="19" t="str">
        <f t="shared" ref="G198:G209" si="62">CONCATENATE(C198," ",D198," ",E198)</f>
        <v>Classic Plan-3-AUH 70-75 Male</v>
      </c>
      <c r="H198" s="36">
        <f t="shared" si="60"/>
        <v>16720</v>
      </c>
      <c r="I198" s="151">
        <v>54.6</v>
      </c>
      <c r="J198" s="36">
        <v>12485</v>
      </c>
      <c r="K198" s="36">
        <f t="shared" si="61"/>
        <v>13734</v>
      </c>
      <c r="L198" s="36">
        <v>89</v>
      </c>
      <c r="M198" s="36">
        <f t="shared" si="43"/>
        <v>13878</v>
      </c>
      <c r="N198" s="36" t="s">
        <v>386</v>
      </c>
      <c r="O198" s="170" t="str">
        <f t="shared" si="56"/>
        <v>Classic Plan-3-AUH</v>
      </c>
    </row>
    <row r="199" spans="1:15" x14ac:dyDescent="0.3">
      <c r="A199" s="88" t="s">
        <v>128</v>
      </c>
      <c r="B199" s="88" t="s">
        <v>34</v>
      </c>
      <c r="C199" s="88" t="s">
        <v>464</v>
      </c>
      <c r="D199" s="145" t="s">
        <v>155</v>
      </c>
      <c r="E199" s="89" t="s">
        <v>5</v>
      </c>
      <c r="F199" s="89" t="str">
        <f t="shared" si="48"/>
        <v>Healthnet Classic Plan-3-AUH Abu Dhabi 76-80 Male</v>
      </c>
      <c r="G199" s="19" t="str">
        <f t="shared" si="62"/>
        <v>Classic Plan-3-AUH 76-80 Male</v>
      </c>
      <c r="H199" s="36">
        <f t="shared" si="60"/>
        <v>21684</v>
      </c>
      <c r="I199" s="151">
        <v>54.6</v>
      </c>
      <c r="J199" s="36">
        <v>16231</v>
      </c>
      <c r="K199" s="36">
        <f t="shared" si="61"/>
        <v>17854</v>
      </c>
      <c r="L199" s="36">
        <v>89</v>
      </c>
      <c r="M199" s="36">
        <f t="shared" ref="M199:M233" si="63">L199+K199+I199</f>
        <v>17998</v>
      </c>
      <c r="N199" s="36" t="s">
        <v>386</v>
      </c>
      <c r="O199" s="170" t="str">
        <f t="shared" si="56"/>
        <v>Classic Plan-3-AUH</v>
      </c>
    </row>
    <row r="200" spans="1:15" x14ac:dyDescent="0.3">
      <c r="A200" s="88" t="s">
        <v>128</v>
      </c>
      <c r="B200" s="88" t="s">
        <v>34</v>
      </c>
      <c r="C200" s="88" t="s">
        <v>464</v>
      </c>
      <c r="D200" s="144" t="s">
        <v>45</v>
      </c>
      <c r="E200" s="89" t="s">
        <v>7</v>
      </c>
      <c r="F200" s="89" t="str">
        <f t="shared" si="48"/>
        <v>Healthnet Classic Plan-3-AUH Abu Dhabi 00-17 Female</v>
      </c>
      <c r="G200" s="19" t="str">
        <f t="shared" si="62"/>
        <v>Classic Plan-3-AUH 00-17 Female</v>
      </c>
      <c r="H200" s="36">
        <f t="shared" si="60"/>
        <v>3594</v>
      </c>
      <c r="I200" s="151">
        <v>54.6</v>
      </c>
      <c r="J200" s="36">
        <v>2366</v>
      </c>
      <c r="K200" s="36">
        <f t="shared" ref="K200:K205" si="64">J200+(J200*20%)</f>
        <v>2839</v>
      </c>
      <c r="L200" s="36">
        <v>89</v>
      </c>
      <c r="M200" s="36">
        <f t="shared" si="63"/>
        <v>2983</v>
      </c>
      <c r="N200" s="36" t="s">
        <v>386</v>
      </c>
      <c r="O200" s="170" t="str">
        <f t="shared" si="56"/>
        <v>Classic Plan-3-AUH</v>
      </c>
    </row>
    <row r="201" spans="1:15" x14ac:dyDescent="0.3">
      <c r="A201" s="88" t="s">
        <v>128</v>
      </c>
      <c r="B201" s="88" t="s">
        <v>34</v>
      </c>
      <c r="C201" s="88" t="s">
        <v>464</v>
      </c>
      <c r="D201" s="145" t="s">
        <v>509</v>
      </c>
      <c r="E201" s="89" t="s">
        <v>7</v>
      </c>
      <c r="F201" s="89" t="str">
        <f t="shared" si="48"/>
        <v>Healthnet Classic Plan-3-AUH Abu Dhabi 18-40 Female</v>
      </c>
      <c r="G201" s="19" t="str">
        <f t="shared" si="62"/>
        <v>Classic Plan-3-AUH 18-40 Female</v>
      </c>
      <c r="H201" s="36">
        <f t="shared" si="60"/>
        <v>4195</v>
      </c>
      <c r="I201" s="151">
        <v>54.6</v>
      </c>
      <c r="J201" s="36">
        <v>2782</v>
      </c>
      <c r="K201" s="36">
        <f t="shared" si="64"/>
        <v>3338</v>
      </c>
      <c r="L201" s="36">
        <v>89</v>
      </c>
      <c r="M201" s="36">
        <f t="shared" si="63"/>
        <v>3482</v>
      </c>
      <c r="N201" s="36" t="s">
        <v>386</v>
      </c>
      <c r="O201" s="170" t="str">
        <f t="shared" si="56"/>
        <v>Classic Plan-3-AUH</v>
      </c>
    </row>
    <row r="202" spans="1:15" x14ac:dyDescent="0.3">
      <c r="A202" s="88" t="s">
        <v>128</v>
      </c>
      <c r="B202" s="88" t="s">
        <v>34</v>
      </c>
      <c r="C202" s="88" t="s">
        <v>464</v>
      </c>
      <c r="D202" s="144" t="s">
        <v>510</v>
      </c>
      <c r="E202" s="89" t="s">
        <v>7</v>
      </c>
      <c r="F202" s="89" t="str">
        <f t="shared" si="48"/>
        <v>Healthnet Classic Plan-3-AUH Abu Dhabi 41-59 Female</v>
      </c>
      <c r="G202" s="19" t="str">
        <f t="shared" si="62"/>
        <v>Classic Plan-3-AUH 41-59 Female</v>
      </c>
      <c r="H202" s="36">
        <f t="shared" si="60"/>
        <v>7446</v>
      </c>
      <c r="I202" s="151">
        <v>54.6</v>
      </c>
      <c r="J202" s="36">
        <v>5030</v>
      </c>
      <c r="K202" s="36">
        <f t="shared" si="64"/>
        <v>6036</v>
      </c>
      <c r="L202" s="36">
        <v>89</v>
      </c>
      <c r="M202" s="36">
        <f t="shared" si="63"/>
        <v>6180</v>
      </c>
      <c r="N202" s="36" t="s">
        <v>386</v>
      </c>
      <c r="O202" s="170" t="str">
        <f t="shared" si="56"/>
        <v>Classic Plan-3-AUH</v>
      </c>
    </row>
    <row r="203" spans="1:15" x14ac:dyDescent="0.3">
      <c r="A203" s="88" t="s">
        <v>128</v>
      </c>
      <c r="B203" s="88" t="s">
        <v>34</v>
      </c>
      <c r="C203" s="88" t="s">
        <v>464</v>
      </c>
      <c r="D203" s="145" t="s">
        <v>511</v>
      </c>
      <c r="E203" s="89" t="s">
        <v>7</v>
      </c>
      <c r="F203" s="89" t="str">
        <f t="shared" si="48"/>
        <v>Healthnet Classic Plan-3-AUH Abu Dhabi 60-69 Female</v>
      </c>
      <c r="G203" s="19" t="str">
        <f t="shared" si="62"/>
        <v>Classic Plan-3-AUH 60-69 Female</v>
      </c>
      <c r="H203" s="36">
        <f t="shared" si="60"/>
        <v>14059</v>
      </c>
      <c r="I203" s="151">
        <v>54.6</v>
      </c>
      <c r="J203" s="36">
        <v>9604</v>
      </c>
      <c r="K203" s="36">
        <f t="shared" si="64"/>
        <v>11525</v>
      </c>
      <c r="L203" s="36">
        <v>89</v>
      </c>
      <c r="M203" s="36">
        <f t="shared" si="63"/>
        <v>11669</v>
      </c>
      <c r="N203" s="36" t="s">
        <v>386</v>
      </c>
      <c r="O203" s="170" t="str">
        <f t="shared" si="56"/>
        <v>Classic Plan-3-AUH</v>
      </c>
    </row>
    <row r="204" spans="1:15" x14ac:dyDescent="0.3">
      <c r="A204" s="88" t="s">
        <v>128</v>
      </c>
      <c r="B204" s="88" t="s">
        <v>34</v>
      </c>
      <c r="C204" s="88" t="s">
        <v>464</v>
      </c>
      <c r="D204" s="144" t="s">
        <v>154</v>
      </c>
      <c r="E204" s="89" t="s">
        <v>7</v>
      </c>
      <c r="F204" s="89" t="str">
        <f t="shared" si="48"/>
        <v>Healthnet Classic Plan-3-AUH Abu Dhabi 70-75 Female</v>
      </c>
      <c r="G204" s="19" t="str">
        <f t="shared" si="62"/>
        <v>Classic Plan-3-AUH 70-75 Female</v>
      </c>
      <c r="H204" s="36">
        <f t="shared" si="60"/>
        <v>18224</v>
      </c>
      <c r="I204" s="151">
        <v>54.6</v>
      </c>
      <c r="J204" s="36">
        <v>12485</v>
      </c>
      <c r="K204" s="36">
        <f t="shared" si="64"/>
        <v>14982</v>
      </c>
      <c r="L204" s="36">
        <v>89</v>
      </c>
      <c r="M204" s="36">
        <f t="shared" si="63"/>
        <v>15126</v>
      </c>
      <c r="N204" s="36" t="s">
        <v>386</v>
      </c>
      <c r="O204" s="170" t="str">
        <f t="shared" si="56"/>
        <v>Classic Plan-3-AUH</v>
      </c>
    </row>
    <row r="205" spans="1:15" x14ac:dyDescent="0.3">
      <c r="A205" s="88" t="s">
        <v>128</v>
      </c>
      <c r="B205" s="88" t="s">
        <v>34</v>
      </c>
      <c r="C205" s="88" t="s">
        <v>464</v>
      </c>
      <c r="D205" s="145" t="s">
        <v>155</v>
      </c>
      <c r="E205" s="89" t="s">
        <v>7</v>
      </c>
      <c r="F205" s="89" t="str">
        <f t="shared" si="48"/>
        <v>Healthnet Classic Plan-3-AUH Abu Dhabi 76-80 Female</v>
      </c>
      <c r="G205" s="19" t="str">
        <f t="shared" si="62"/>
        <v>Classic Plan-3-AUH 76-80 Female</v>
      </c>
      <c r="H205" s="36">
        <f t="shared" si="60"/>
        <v>23640</v>
      </c>
      <c r="I205" s="151">
        <v>54.6</v>
      </c>
      <c r="J205" s="36">
        <v>16231</v>
      </c>
      <c r="K205" s="36">
        <f t="shared" si="64"/>
        <v>19477</v>
      </c>
      <c r="L205" s="36">
        <v>89</v>
      </c>
      <c r="M205" s="36">
        <f t="shared" si="63"/>
        <v>19621</v>
      </c>
      <c r="N205" s="36" t="s">
        <v>386</v>
      </c>
      <c r="O205" s="170" t="str">
        <f t="shared" si="56"/>
        <v>Classic Plan-3-AUH</v>
      </c>
    </row>
    <row r="206" spans="1:15" x14ac:dyDescent="0.3">
      <c r="A206" s="88" t="s">
        <v>128</v>
      </c>
      <c r="B206" s="88" t="s">
        <v>34</v>
      </c>
      <c r="C206" s="88" t="s">
        <v>465</v>
      </c>
      <c r="D206" s="144" t="s">
        <v>45</v>
      </c>
      <c r="E206" s="89" t="s">
        <v>5</v>
      </c>
      <c r="F206" s="89" t="str">
        <f t="shared" si="48"/>
        <v>Healthnet Classic Plan-4-AUH Abu Dhabi 00-17 Male</v>
      </c>
      <c r="G206" s="19" t="str">
        <f t="shared" si="62"/>
        <v>Classic Plan-4-AUH 00-17 Male</v>
      </c>
      <c r="H206" s="36">
        <f t="shared" si="60"/>
        <v>2527</v>
      </c>
      <c r="I206" s="151">
        <v>54.6</v>
      </c>
      <c r="J206" s="36">
        <v>1775</v>
      </c>
      <c r="K206" s="36">
        <f t="shared" ref="K206:K211" si="65">J206+(J206*10%)</f>
        <v>1953</v>
      </c>
      <c r="L206" s="36">
        <v>89</v>
      </c>
      <c r="M206" s="36">
        <f t="shared" si="63"/>
        <v>2097</v>
      </c>
      <c r="N206" s="36" t="s">
        <v>387</v>
      </c>
      <c r="O206" s="170" t="str">
        <f t="shared" si="56"/>
        <v>Classic Plan-4-AUH</v>
      </c>
    </row>
    <row r="207" spans="1:15" x14ac:dyDescent="0.3">
      <c r="A207" s="88" t="s">
        <v>128</v>
      </c>
      <c r="B207" s="88" t="s">
        <v>34</v>
      </c>
      <c r="C207" s="152" t="s">
        <v>465</v>
      </c>
      <c r="D207" s="153" t="s">
        <v>509</v>
      </c>
      <c r="E207" s="154" t="s">
        <v>5</v>
      </c>
      <c r="F207" s="154" t="str">
        <f t="shared" si="48"/>
        <v>Healthnet Classic Plan-4-AUH Abu Dhabi 18-40 Male</v>
      </c>
      <c r="G207" s="155" t="str">
        <f t="shared" si="62"/>
        <v>Classic Plan-4-AUH 18-40 Male</v>
      </c>
      <c r="H207" s="156">
        <f t="shared" si="60"/>
        <v>3288</v>
      </c>
      <c r="I207" s="157">
        <v>54.6</v>
      </c>
      <c r="J207" s="156">
        <f>2100+250</f>
        <v>2350</v>
      </c>
      <c r="K207" s="36">
        <f t="shared" si="65"/>
        <v>2585</v>
      </c>
      <c r="L207" s="36">
        <v>89</v>
      </c>
      <c r="M207" s="36">
        <f t="shared" si="63"/>
        <v>2729</v>
      </c>
      <c r="N207" s="36" t="s">
        <v>387</v>
      </c>
      <c r="O207" s="170" t="str">
        <f t="shared" si="56"/>
        <v>Classic Plan-4-AUH</v>
      </c>
    </row>
    <row r="208" spans="1:15" x14ac:dyDescent="0.3">
      <c r="A208" s="88" t="s">
        <v>128</v>
      </c>
      <c r="B208" s="88" t="s">
        <v>34</v>
      </c>
      <c r="C208" s="88" t="s">
        <v>465</v>
      </c>
      <c r="D208" s="144" t="s">
        <v>510</v>
      </c>
      <c r="E208" s="89" t="s">
        <v>5</v>
      </c>
      <c r="F208" s="89" t="str">
        <f t="shared" si="48"/>
        <v>Healthnet Classic Plan-4-AUH Abu Dhabi 41-59 Male</v>
      </c>
      <c r="G208" s="19" t="str">
        <f t="shared" si="62"/>
        <v>Classic Plan-4-AUH 41-59 Male</v>
      </c>
      <c r="H208" s="36">
        <f t="shared" si="60"/>
        <v>6336</v>
      </c>
      <c r="I208" s="151">
        <v>54.6</v>
      </c>
      <c r="J208" s="36">
        <v>4650</v>
      </c>
      <c r="K208" s="36">
        <f t="shared" si="65"/>
        <v>5115</v>
      </c>
      <c r="L208" s="36">
        <v>89</v>
      </c>
      <c r="M208" s="36">
        <f t="shared" si="63"/>
        <v>5259</v>
      </c>
      <c r="N208" s="36" t="s">
        <v>387</v>
      </c>
      <c r="O208" s="170" t="str">
        <f t="shared" si="56"/>
        <v>Classic Plan-4-AUH</v>
      </c>
    </row>
    <row r="209" spans="1:18" x14ac:dyDescent="0.3">
      <c r="A209" s="88" t="s">
        <v>128</v>
      </c>
      <c r="B209" s="88" t="s">
        <v>34</v>
      </c>
      <c r="C209" s="152" t="s">
        <v>465</v>
      </c>
      <c r="D209" s="153" t="s">
        <v>511</v>
      </c>
      <c r="E209" s="154" t="s">
        <v>5</v>
      </c>
      <c r="F209" s="154" t="str">
        <f t="shared" si="48"/>
        <v>Healthnet Classic Plan-4-AUH Abu Dhabi 60-69 Male</v>
      </c>
      <c r="G209" s="155" t="str">
        <f t="shared" si="62"/>
        <v>Classic Plan-4-AUH 60-69 Male</v>
      </c>
      <c r="H209" s="156">
        <f t="shared" si="60"/>
        <v>14271</v>
      </c>
      <c r="I209" s="157">
        <v>54.6</v>
      </c>
      <c r="J209" s="156">
        <f>9077+1560</f>
        <v>10637</v>
      </c>
      <c r="K209" s="36">
        <f t="shared" si="65"/>
        <v>11701</v>
      </c>
      <c r="L209" s="36">
        <v>89</v>
      </c>
      <c r="M209" s="36">
        <f t="shared" si="63"/>
        <v>11845</v>
      </c>
      <c r="N209" s="36" t="s">
        <v>387</v>
      </c>
      <c r="O209" s="170" t="str">
        <f t="shared" si="56"/>
        <v>Classic Plan-4-AUH</v>
      </c>
    </row>
    <row r="210" spans="1:18" x14ac:dyDescent="0.3">
      <c r="A210" s="88" t="s">
        <v>128</v>
      </c>
      <c r="B210" s="88" t="s">
        <v>34</v>
      </c>
      <c r="C210" s="88" t="s">
        <v>465</v>
      </c>
      <c r="D210" s="144" t="s">
        <v>154</v>
      </c>
      <c r="E210" s="89" t="s">
        <v>5</v>
      </c>
      <c r="F210" s="89" t="str">
        <f t="shared" si="41"/>
        <v>Healthnet Classic Plan-4-AUH Abu Dhabi 70-75 Male</v>
      </c>
      <c r="G210" s="19" t="str">
        <f t="shared" ref="G210:G217" si="66">CONCATENATE(C210," ",D210," ",E210)</f>
        <v>Classic Plan-4-AUH 70-75 Male</v>
      </c>
      <c r="H210" s="36">
        <f t="shared" si="60"/>
        <v>15813</v>
      </c>
      <c r="I210" s="151">
        <v>54.6</v>
      </c>
      <c r="J210" s="36">
        <v>11801</v>
      </c>
      <c r="K210" s="36">
        <f t="shared" si="65"/>
        <v>12981</v>
      </c>
      <c r="L210" s="36">
        <v>89</v>
      </c>
      <c r="M210" s="36">
        <f t="shared" si="63"/>
        <v>13125</v>
      </c>
      <c r="N210" s="36" t="s">
        <v>387</v>
      </c>
      <c r="O210" s="170" t="str">
        <f t="shared" ref="O210:O217" si="67">C210</f>
        <v>Classic Plan-4-AUH</v>
      </c>
    </row>
    <row r="211" spans="1:18" x14ac:dyDescent="0.3">
      <c r="A211" s="88" t="s">
        <v>128</v>
      </c>
      <c r="B211" s="88" t="s">
        <v>34</v>
      </c>
      <c r="C211" s="88" t="s">
        <v>465</v>
      </c>
      <c r="D211" s="145" t="s">
        <v>155</v>
      </c>
      <c r="E211" s="89" t="s">
        <v>5</v>
      </c>
      <c r="F211" s="89" t="str">
        <f t="shared" si="41"/>
        <v>Healthnet Classic Plan-4-AUH Abu Dhabi 76-80 Male</v>
      </c>
      <c r="G211" s="19" t="str">
        <f t="shared" si="66"/>
        <v>Classic Plan-4-AUH 76-80 Male</v>
      </c>
      <c r="H211" s="36">
        <f t="shared" si="60"/>
        <v>20506</v>
      </c>
      <c r="I211" s="151">
        <v>54.6</v>
      </c>
      <c r="J211" s="36">
        <v>15342</v>
      </c>
      <c r="K211" s="36">
        <f t="shared" si="65"/>
        <v>16876</v>
      </c>
      <c r="L211" s="36">
        <v>89</v>
      </c>
      <c r="M211" s="36">
        <f t="shared" si="63"/>
        <v>17020</v>
      </c>
      <c r="N211" s="36" t="s">
        <v>387</v>
      </c>
      <c r="O211" s="170" t="str">
        <f t="shared" si="67"/>
        <v>Classic Plan-4-AUH</v>
      </c>
    </row>
    <row r="212" spans="1:18" x14ac:dyDescent="0.3">
      <c r="A212" s="88" t="s">
        <v>128</v>
      </c>
      <c r="B212" s="88" t="s">
        <v>34</v>
      </c>
      <c r="C212" s="88" t="s">
        <v>465</v>
      </c>
      <c r="D212" s="144" t="s">
        <v>45</v>
      </c>
      <c r="E212" s="89" t="s">
        <v>7</v>
      </c>
      <c r="F212" s="89" t="str">
        <f t="shared" ref="F212:F217" si="68">+CONCATENATE(A212," ",C212," ",B212," ",D212," ",E212)</f>
        <v>Healthnet Classic Plan-4-AUH Abu Dhabi 00-17 Female</v>
      </c>
      <c r="G212" s="19" t="str">
        <f t="shared" si="66"/>
        <v>Classic Plan-4-AUH 00-17 Female</v>
      </c>
      <c r="H212" s="36">
        <f t="shared" si="60"/>
        <v>2740</v>
      </c>
      <c r="I212" s="151">
        <v>54.6</v>
      </c>
      <c r="J212" s="36">
        <v>1775</v>
      </c>
      <c r="K212" s="36">
        <f t="shared" ref="K212:K217" si="69">J212+(J212*20%)</f>
        <v>2130</v>
      </c>
      <c r="L212" s="36">
        <v>89</v>
      </c>
      <c r="M212" s="36">
        <f t="shared" si="63"/>
        <v>2274</v>
      </c>
      <c r="N212" s="36" t="s">
        <v>387</v>
      </c>
      <c r="O212" s="170" t="str">
        <f t="shared" si="67"/>
        <v>Classic Plan-4-AUH</v>
      </c>
    </row>
    <row r="213" spans="1:18" x14ac:dyDescent="0.3">
      <c r="A213" s="88" t="s">
        <v>128</v>
      </c>
      <c r="B213" s="88" t="s">
        <v>34</v>
      </c>
      <c r="C213" s="152" t="s">
        <v>465</v>
      </c>
      <c r="D213" s="153" t="s">
        <v>509</v>
      </c>
      <c r="E213" s="154" t="s">
        <v>7</v>
      </c>
      <c r="F213" s="154" t="str">
        <f t="shared" si="68"/>
        <v>Healthnet Classic Plan-4-AUH Abu Dhabi 18-40 Female</v>
      </c>
      <c r="G213" s="155" t="str">
        <f t="shared" si="66"/>
        <v>Classic Plan-4-AUH 18-40 Female</v>
      </c>
      <c r="H213" s="156">
        <f t="shared" si="60"/>
        <v>3571</v>
      </c>
      <c r="I213" s="157">
        <v>54.6</v>
      </c>
      <c r="J213" s="156">
        <f>2100+250</f>
        <v>2350</v>
      </c>
      <c r="K213" s="36">
        <f t="shared" si="69"/>
        <v>2820</v>
      </c>
      <c r="L213" s="36">
        <v>89</v>
      </c>
      <c r="M213" s="36">
        <f t="shared" si="63"/>
        <v>2964</v>
      </c>
      <c r="N213" s="36" t="s">
        <v>387</v>
      </c>
      <c r="O213" s="170" t="str">
        <f t="shared" si="67"/>
        <v>Classic Plan-4-AUH</v>
      </c>
    </row>
    <row r="214" spans="1:18" x14ac:dyDescent="0.3">
      <c r="A214" s="88" t="s">
        <v>128</v>
      </c>
      <c r="B214" s="88" t="s">
        <v>34</v>
      </c>
      <c r="C214" s="88" t="s">
        <v>465</v>
      </c>
      <c r="D214" s="144" t="s">
        <v>510</v>
      </c>
      <c r="E214" s="89" t="s">
        <v>7</v>
      </c>
      <c r="F214" s="89" t="str">
        <f t="shared" si="68"/>
        <v>Healthnet Classic Plan-4-AUH Abu Dhabi 41-59 Female</v>
      </c>
      <c r="G214" s="19" t="str">
        <f t="shared" si="66"/>
        <v>Classic Plan-4-AUH 41-59 Female</v>
      </c>
      <c r="H214" s="36">
        <f t="shared" si="60"/>
        <v>6896</v>
      </c>
      <c r="I214" s="151">
        <v>54.6</v>
      </c>
      <c r="J214" s="36">
        <v>4650</v>
      </c>
      <c r="K214" s="36">
        <f t="shared" si="69"/>
        <v>5580</v>
      </c>
      <c r="L214" s="36">
        <v>89</v>
      </c>
      <c r="M214" s="36">
        <f t="shared" si="63"/>
        <v>5724</v>
      </c>
      <c r="N214" s="36" t="s">
        <v>387</v>
      </c>
      <c r="O214" s="170" t="str">
        <f t="shared" si="67"/>
        <v>Classic Plan-4-AUH</v>
      </c>
    </row>
    <row r="215" spans="1:18" x14ac:dyDescent="0.3">
      <c r="A215" s="88" t="s">
        <v>128</v>
      </c>
      <c r="B215" s="88" t="s">
        <v>34</v>
      </c>
      <c r="C215" s="152" t="s">
        <v>465</v>
      </c>
      <c r="D215" s="153" t="s">
        <v>511</v>
      </c>
      <c r="E215" s="154" t="s">
        <v>7</v>
      </c>
      <c r="F215" s="154" t="str">
        <f t="shared" si="68"/>
        <v>Healthnet Classic Plan-4-AUH Abu Dhabi 60-69 Female</v>
      </c>
      <c r="G215" s="155" t="str">
        <f t="shared" si="66"/>
        <v>Classic Plan-4-AUH 60-69 Female</v>
      </c>
      <c r="H215" s="156">
        <f t="shared" si="60"/>
        <v>15552</v>
      </c>
      <c r="I215" s="157">
        <v>54.6</v>
      </c>
      <c r="J215" s="156">
        <f>9077+1560</f>
        <v>10637</v>
      </c>
      <c r="K215" s="36">
        <f t="shared" si="69"/>
        <v>12764</v>
      </c>
      <c r="L215" s="36">
        <v>89</v>
      </c>
      <c r="M215" s="36">
        <f t="shared" si="63"/>
        <v>12908</v>
      </c>
      <c r="N215" s="36" t="s">
        <v>387</v>
      </c>
      <c r="O215" s="170" t="str">
        <f t="shared" si="67"/>
        <v>Classic Plan-4-AUH</v>
      </c>
    </row>
    <row r="216" spans="1:18" x14ac:dyDescent="0.3">
      <c r="A216" s="88" t="s">
        <v>128</v>
      </c>
      <c r="B216" s="88" t="s">
        <v>34</v>
      </c>
      <c r="C216" s="88" t="s">
        <v>465</v>
      </c>
      <c r="D216" s="144" t="s">
        <v>154</v>
      </c>
      <c r="E216" s="89" t="s">
        <v>7</v>
      </c>
      <c r="F216" s="89" t="str">
        <f t="shared" si="68"/>
        <v>Healthnet Classic Plan-4-AUH Abu Dhabi 70-75 Female</v>
      </c>
      <c r="G216" s="19" t="str">
        <f t="shared" si="66"/>
        <v>Classic Plan-4-AUH 70-75 Female</v>
      </c>
      <c r="H216" s="36">
        <f t="shared" si="60"/>
        <v>17235</v>
      </c>
      <c r="I216" s="151">
        <v>54.6</v>
      </c>
      <c r="J216" s="36">
        <v>11801</v>
      </c>
      <c r="K216" s="36">
        <f t="shared" si="69"/>
        <v>14161</v>
      </c>
      <c r="L216" s="36">
        <v>89</v>
      </c>
      <c r="M216" s="36">
        <f t="shared" si="63"/>
        <v>14305</v>
      </c>
      <c r="N216" s="36" t="s">
        <v>387</v>
      </c>
      <c r="O216" s="170" t="str">
        <f t="shared" si="67"/>
        <v>Classic Plan-4-AUH</v>
      </c>
    </row>
    <row r="217" spans="1:18" x14ac:dyDescent="0.3">
      <c r="A217" s="88" t="s">
        <v>128</v>
      </c>
      <c r="B217" s="88" t="s">
        <v>34</v>
      </c>
      <c r="C217" s="88" t="s">
        <v>465</v>
      </c>
      <c r="D217" s="145" t="s">
        <v>155</v>
      </c>
      <c r="E217" s="89" t="s">
        <v>7</v>
      </c>
      <c r="F217" s="89" t="str">
        <f t="shared" si="68"/>
        <v>Healthnet Classic Plan-4-AUH Abu Dhabi 76-80 Female</v>
      </c>
      <c r="G217" s="19" t="str">
        <f t="shared" si="66"/>
        <v>Classic Plan-4-AUH 76-80 Female</v>
      </c>
      <c r="H217" s="36">
        <f t="shared" si="60"/>
        <v>22354</v>
      </c>
      <c r="I217" s="151">
        <v>54.6</v>
      </c>
      <c r="J217" s="36">
        <v>15342</v>
      </c>
      <c r="K217" s="36">
        <f t="shared" si="69"/>
        <v>18410</v>
      </c>
      <c r="L217" s="36">
        <v>89</v>
      </c>
      <c r="M217" s="36">
        <f t="shared" si="63"/>
        <v>18554</v>
      </c>
      <c r="N217" s="36" t="s">
        <v>387</v>
      </c>
      <c r="O217" s="170" t="str">
        <f t="shared" si="67"/>
        <v>Classic Plan-4-AUH</v>
      </c>
    </row>
    <row r="218" spans="1:18" x14ac:dyDescent="0.3">
      <c r="A218" s="88" t="s">
        <v>128</v>
      </c>
      <c r="B218" s="88" t="s">
        <v>33</v>
      </c>
      <c r="C218" s="88" t="s">
        <v>405</v>
      </c>
      <c r="E218" s="40" t="s">
        <v>1</v>
      </c>
      <c r="F218" s="89" t="str">
        <f>+CONCATENATE(A218," ",C218," ",B218," ",D218,E218)</f>
        <v>Healthnet Prime Plan-1 Dubai Maternity</v>
      </c>
      <c r="G218" s="146" t="str">
        <f>CONCATENATE(C218,"",D218,"",E218)</f>
        <v>Prime Plan-1Maternity</v>
      </c>
      <c r="H218" s="36">
        <f t="shared" ref="H218:H233" si="70">ROUND(M218/(1-$H$4),0)</f>
        <v>3123</v>
      </c>
      <c r="I218" s="36"/>
      <c r="J218" s="36">
        <v>2160</v>
      </c>
      <c r="K218" s="36">
        <f>J218+(J218*20%)</f>
        <v>2592</v>
      </c>
      <c r="L218" s="36"/>
      <c r="M218" s="36">
        <f t="shared" si="63"/>
        <v>2592</v>
      </c>
      <c r="N218" s="36" t="s">
        <v>382</v>
      </c>
      <c r="O218" s="170">
        <v>2160</v>
      </c>
      <c r="Q218" s="177">
        <f>L8/(1-H4)</f>
        <v>208.43</v>
      </c>
    </row>
    <row r="219" spans="1:18" x14ac:dyDescent="0.3">
      <c r="A219" s="88" t="s">
        <v>128</v>
      </c>
      <c r="B219" s="88" t="s">
        <v>33</v>
      </c>
      <c r="C219" s="88" t="s">
        <v>406</v>
      </c>
      <c r="D219" s="40"/>
      <c r="E219" s="40" t="s">
        <v>1</v>
      </c>
      <c r="F219" s="89" t="str">
        <f t="shared" ref="F219:F233" si="71">+CONCATENATE(A219," ",C219," ",B219," ",D219,E219)</f>
        <v>Healthnet Prime Plan-2 Dubai Maternity</v>
      </c>
      <c r="G219" s="19" t="str">
        <f t="shared" ref="G219:G233" si="72">CONCATENATE(C219,"",D219,"",E219)</f>
        <v>Prime Plan-2Maternity</v>
      </c>
      <c r="H219" s="36">
        <f t="shared" si="70"/>
        <v>2602</v>
      </c>
      <c r="I219" s="36"/>
      <c r="J219" s="36">
        <v>1800</v>
      </c>
      <c r="K219" s="36">
        <f t="shared" ref="K219:K233" si="73">J219+(J219*20%)</f>
        <v>2160</v>
      </c>
      <c r="L219" s="36"/>
      <c r="M219" s="36">
        <f t="shared" si="63"/>
        <v>2160</v>
      </c>
      <c r="N219" s="36" t="s">
        <v>566</v>
      </c>
      <c r="O219" s="170">
        <v>1800</v>
      </c>
      <c r="Q219" s="28"/>
      <c r="R219" s="17">
        <f>IF('Census List'!M28="Fixed",'Premium working'!O218+'Census List'!N28,O218*(1+Q218))</f>
        <v>2160</v>
      </c>
    </row>
    <row r="220" spans="1:18" x14ac:dyDescent="0.3">
      <c r="A220" s="88" t="s">
        <v>128</v>
      </c>
      <c r="B220" s="88" t="s">
        <v>33</v>
      </c>
      <c r="C220" s="88" t="s">
        <v>454</v>
      </c>
      <c r="D220" s="40"/>
      <c r="E220" s="40" t="s">
        <v>1</v>
      </c>
      <c r="F220" s="89" t="str">
        <f t="shared" si="71"/>
        <v>Healthnet Classic Plan-1 Dubai Maternity</v>
      </c>
      <c r="G220" s="19" t="str">
        <f t="shared" si="72"/>
        <v>Classic Plan-1Maternity</v>
      </c>
      <c r="H220" s="36">
        <f t="shared" si="70"/>
        <v>2602</v>
      </c>
      <c r="I220" s="36"/>
      <c r="J220" s="36">
        <v>1800</v>
      </c>
      <c r="K220" s="36">
        <f t="shared" si="73"/>
        <v>2160</v>
      </c>
      <c r="L220" s="36"/>
      <c r="M220" s="36">
        <f t="shared" si="63"/>
        <v>2160</v>
      </c>
      <c r="N220" s="36" t="s">
        <v>384</v>
      </c>
      <c r="O220" s="170">
        <v>1800</v>
      </c>
      <c r="Q220" s="28"/>
    </row>
    <row r="221" spans="1:18" x14ac:dyDescent="0.3">
      <c r="A221" s="88" t="s">
        <v>128</v>
      </c>
      <c r="B221" s="88" t="s">
        <v>33</v>
      </c>
      <c r="C221" s="88" t="s">
        <v>455</v>
      </c>
      <c r="D221" s="40"/>
      <c r="E221" s="40" t="s">
        <v>1</v>
      </c>
      <c r="F221" s="89" t="str">
        <f t="shared" si="71"/>
        <v>Healthnet Classic Plan-2 Dubai Maternity</v>
      </c>
      <c r="G221" s="19" t="str">
        <f t="shared" si="72"/>
        <v>Classic Plan-2Maternity</v>
      </c>
      <c r="H221" s="36">
        <f t="shared" si="70"/>
        <v>2169</v>
      </c>
      <c r="I221" s="36"/>
      <c r="J221" s="36">
        <v>1500</v>
      </c>
      <c r="K221" s="36">
        <f t="shared" si="73"/>
        <v>1800</v>
      </c>
      <c r="L221" s="36"/>
      <c r="M221" s="36">
        <f t="shared" si="63"/>
        <v>1800</v>
      </c>
      <c r="N221" s="36" t="s">
        <v>385</v>
      </c>
      <c r="O221" s="170">
        <v>1500</v>
      </c>
      <c r="Q221" s="28"/>
      <c r="R221" s="17" t="s">
        <v>493</v>
      </c>
    </row>
    <row r="222" spans="1:18" x14ac:dyDescent="0.3">
      <c r="A222" s="88" t="s">
        <v>128</v>
      </c>
      <c r="B222" s="88" t="s">
        <v>33</v>
      </c>
      <c r="C222" s="88" t="s">
        <v>456</v>
      </c>
      <c r="D222" s="40"/>
      <c r="E222" s="40" t="s">
        <v>1</v>
      </c>
      <c r="F222" s="89" t="str">
        <f t="shared" si="71"/>
        <v>Healthnet Classic Plan-3 Dubai Maternity</v>
      </c>
      <c r="G222" s="19" t="str">
        <f t="shared" si="72"/>
        <v>Classic Plan-3Maternity</v>
      </c>
      <c r="H222" s="36">
        <f t="shared" si="70"/>
        <v>1735</v>
      </c>
      <c r="I222" s="36"/>
      <c r="J222" s="36">
        <v>1200</v>
      </c>
      <c r="K222" s="36">
        <f t="shared" si="73"/>
        <v>1440</v>
      </c>
      <c r="L222" s="36"/>
      <c r="M222" s="36">
        <f t="shared" si="63"/>
        <v>1440</v>
      </c>
      <c r="N222" s="36" t="s">
        <v>386</v>
      </c>
      <c r="O222" s="170">
        <v>1200</v>
      </c>
      <c r="Q222" s="28"/>
    </row>
    <row r="223" spans="1:18" x14ac:dyDescent="0.3">
      <c r="A223" s="88" t="s">
        <v>128</v>
      </c>
      <c r="B223" s="88" t="s">
        <v>33</v>
      </c>
      <c r="C223" s="88" t="s">
        <v>457</v>
      </c>
      <c r="D223" s="40"/>
      <c r="E223" s="40" t="s">
        <v>1</v>
      </c>
      <c r="F223" s="89" t="str">
        <f t="shared" si="71"/>
        <v>Healthnet Classic Plan-4 Dubai Maternity</v>
      </c>
      <c r="G223" s="19" t="str">
        <f t="shared" si="72"/>
        <v>Classic Plan-4Maternity</v>
      </c>
      <c r="H223" s="36">
        <f t="shared" si="70"/>
        <v>1735</v>
      </c>
      <c r="I223" s="36"/>
      <c r="J223" s="36">
        <v>1200</v>
      </c>
      <c r="K223" s="36">
        <f t="shared" si="73"/>
        <v>1440</v>
      </c>
      <c r="L223" s="36"/>
      <c r="M223" s="36">
        <f t="shared" si="63"/>
        <v>1440</v>
      </c>
      <c r="N223" s="36" t="s">
        <v>387</v>
      </c>
      <c r="O223" s="170">
        <v>1200</v>
      </c>
      <c r="Q223" s="28"/>
    </row>
    <row r="224" spans="1:18" x14ac:dyDescent="0.3">
      <c r="A224" s="88" t="s">
        <v>128</v>
      </c>
      <c r="B224" s="88" t="s">
        <v>33</v>
      </c>
      <c r="C224" s="88" t="s">
        <v>458</v>
      </c>
      <c r="D224" s="40"/>
      <c r="E224" s="40" t="s">
        <v>1</v>
      </c>
      <c r="F224" s="89" t="str">
        <f t="shared" si="71"/>
        <v>Healthnet Classic Plan-1R Dubai Maternity</v>
      </c>
      <c r="G224" s="19" t="str">
        <f t="shared" si="72"/>
        <v>Classic Plan-1RMaternity</v>
      </c>
      <c r="H224" s="36">
        <f t="shared" si="70"/>
        <v>2602</v>
      </c>
      <c r="I224" s="36"/>
      <c r="J224" s="36">
        <v>1800</v>
      </c>
      <c r="K224" s="36">
        <f t="shared" si="73"/>
        <v>2160</v>
      </c>
      <c r="L224" s="36"/>
      <c r="M224" s="36">
        <f t="shared" si="63"/>
        <v>2160</v>
      </c>
      <c r="N224" s="36" t="s">
        <v>384</v>
      </c>
      <c r="O224" s="170">
        <v>1800</v>
      </c>
      <c r="Q224" s="28"/>
    </row>
    <row r="225" spans="1:18" x14ac:dyDescent="0.3">
      <c r="A225" s="88" t="s">
        <v>128</v>
      </c>
      <c r="B225" s="88" t="s">
        <v>33</v>
      </c>
      <c r="C225" s="88" t="s">
        <v>459</v>
      </c>
      <c r="D225" s="40"/>
      <c r="E225" s="40" t="s">
        <v>1</v>
      </c>
      <c r="F225" s="89" t="str">
        <f t="shared" si="71"/>
        <v>Healthnet Classic Plan-2R Dubai Maternity</v>
      </c>
      <c r="G225" s="19" t="str">
        <f t="shared" si="72"/>
        <v>Classic Plan-2RMaternity</v>
      </c>
      <c r="H225" s="36">
        <f t="shared" si="70"/>
        <v>2169</v>
      </c>
      <c r="I225" s="36"/>
      <c r="J225" s="36">
        <v>1500</v>
      </c>
      <c r="K225" s="36">
        <f t="shared" si="73"/>
        <v>1800</v>
      </c>
      <c r="L225" s="36"/>
      <c r="M225" s="36">
        <f t="shared" si="63"/>
        <v>1800</v>
      </c>
      <c r="N225" s="36" t="s">
        <v>385</v>
      </c>
      <c r="O225" s="170">
        <v>1500</v>
      </c>
      <c r="Q225" s="28"/>
    </row>
    <row r="226" spans="1:18" x14ac:dyDescent="0.3">
      <c r="A226" s="88" t="s">
        <v>128</v>
      </c>
      <c r="B226" s="88" t="s">
        <v>33</v>
      </c>
      <c r="C226" s="88" t="s">
        <v>460</v>
      </c>
      <c r="D226" s="40"/>
      <c r="E226" s="40" t="s">
        <v>1</v>
      </c>
      <c r="F226" s="89" t="str">
        <f t="shared" si="71"/>
        <v>Healthnet Classic Plan-3R Dubai Maternity</v>
      </c>
      <c r="G226" s="19" t="str">
        <f t="shared" si="72"/>
        <v>Classic Plan-3RMaternity</v>
      </c>
      <c r="H226" s="36">
        <f t="shared" si="70"/>
        <v>1735</v>
      </c>
      <c r="I226" s="36"/>
      <c r="J226" s="36">
        <v>1200</v>
      </c>
      <c r="K226" s="36">
        <f t="shared" si="73"/>
        <v>1440</v>
      </c>
      <c r="L226" s="36"/>
      <c r="M226" s="36">
        <f t="shared" si="63"/>
        <v>1440</v>
      </c>
      <c r="N226" s="36" t="s">
        <v>386</v>
      </c>
      <c r="O226" s="170">
        <v>1200</v>
      </c>
      <c r="Q226" s="28"/>
    </row>
    <row r="227" spans="1:18" x14ac:dyDescent="0.3">
      <c r="A227" s="88" t="s">
        <v>128</v>
      </c>
      <c r="B227" s="88" t="s">
        <v>33</v>
      </c>
      <c r="C227" s="88" t="s">
        <v>461</v>
      </c>
      <c r="D227" s="40"/>
      <c r="E227" s="40" t="s">
        <v>1</v>
      </c>
      <c r="F227" s="89" t="str">
        <f t="shared" si="71"/>
        <v>Healthnet Classic Plan-4R Dubai Maternity</v>
      </c>
      <c r="G227" s="19" t="str">
        <f t="shared" si="72"/>
        <v>Classic Plan-4RMaternity</v>
      </c>
      <c r="H227" s="36">
        <f t="shared" si="70"/>
        <v>1735</v>
      </c>
      <c r="I227" s="36"/>
      <c r="J227" s="36">
        <v>1200</v>
      </c>
      <c r="K227" s="36">
        <f t="shared" si="73"/>
        <v>1440</v>
      </c>
      <c r="L227" s="36"/>
      <c r="M227" s="36">
        <f t="shared" si="63"/>
        <v>1440</v>
      </c>
      <c r="N227" s="36" t="s">
        <v>387</v>
      </c>
      <c r="O227" s="170">
        <v>1200</v>
      </c>
      <c r="Q227" s="28"/>
    </row>
    <row r="228" spans="1:18" x14ac:dyDescent="0.3">
      <c r="A228" s="88" t="s">
        <v>128</v>
      </c>
      <c r="B228" s="88" t="s">
        <v>34</v>
      </c>
      <c r="C228" s="88" t="s">
        <v>430</v>
      </c>
      <c r="D228" s="40"/>
      <c r="E228" s="40" t="s">
        <v>1</v>
      </c>
      <c r="F228" s="89" t="str">
        <f t="shared" si="71"/>
        <v>Healthnet Prime Plan-1-AUH Abu Dhabi Maternity</v>
      </c>
      <c r="G228" s="146" t="str">
        <f t="shared" si="72"/>
        <v>Prime Plan-1-AUHMaternity</v>
      </c>
      <c r="H228" s="36">
        <f t="shared" si="70"/>
        <v>4780</v>
      </c>
      <c r="I228" s="36"/>
      <c r="J228" s="36">
        <v>3306</v>
      </c>
      <c r="K228" s="36">
        <f t="shared" si="73"/>
        <v>3967</v>
      </c>
      <c r="L228" s="36"/>
      <c r="M228" s="36">
        <f t="shared" si="63"/>
        <v>3967</v>
      </c>
      <c r="N228" s="36" t="s">
        <v>382</v>
      </c>
      <c r="O228" s="170">
        <v>3306</v>
      </c>
      <c r="Q228" s="177">
        <v>7975</v>
      </c>
      <c r="R228" s="17">
        <v>7469</v>
      </c>
    </row>
    <row r="229" spans="1:18" x14ac:dyDescent="0.3">
      <c r="A229" s="88" t="s">
        <v>128</v>
      </c>
      <c r="B229" s="88" t="s">
        <v>34</v>
      </c>
      <c r="C229" s="88" t="s">
        <v>431</v>
      </c>
      <c r="D229" s="40"/>
      <c r="E229" s="40" t="s">
        <v>1</v>
      </c>
      <c r="F229" s="89" t="str">
        <f t="shared" si="71"/>
        <v>Healthnet Prime Plan-2-AUH Abu Dhabi Maternity</v>
      </c>
      <c r="G229" s="19" t="str">
        <f t="shared" si="72"/>
        <v>Prime Plan-2-AUHMaternity</v>
      </c>
      <c r="H229" s="36">
        <f t="shared" si="70"/>
        <v>3658</v>
      </c>
      <c r="I229" s="36"/>
      <c r="J229" s="36">
        <v>2530</v>
      </c>
      <c r="K229" s="36">
        <f t="shared" si="73"/>
        <v>3036</v>
      </c>
      <c r="L229" s="36"/>
      <c r="M229" s="36">
        <f t="shared" si="63"/>
        <v>3036</v>
      </c>
      <c r="N229" s="36" t="s">
        <v>566</v>
      </c>
      <c r="O229" s="170">
        <v>2530</v>
      </c>
      <c r="Q229" s="28"/>
    </row>
    <row r="230" spans="1:18" x14ac:dyDescent="0.3">
      <c r="A230" s="88" t="s">
        <v>128</v>
      </c>
      <c r="B230" s="88" t="s">
        <v>34</v>
      </c>
      <c r="C230" s="88" t="s">
        <v>462</v>
      </c>
      <c r="D230" s="40"/>
      <c r="E230" s="40" t="s">
        <v>1</v>
      </c>
      <c r="F230" s="89" t="str">
        <f t="shared" si="71"/>
        <v>Healthnet Classic Plan-1-AUH Abu Dhabi Maternity</v>
      </c>
      <c r="G230" s="19" t="str">
        <f t="shared" si="72"/>
        <v>Classic Plan-1-AUHMaternity</v>
      </c>
      <c r="H230" s="36">
        <f t="shared" si="70"/>
        <v>3292</v>
      </c>
      <c r="I230" s="36"/>
      <c r="J230" s="36">
        <v>2277</v>
      </c>
      <c r="K230" s="36">
        <f t="shared" si="73"/>
        <v>2732</v>
      </c>
      <c r="L230" s="36"/>
      <c r="M230" s="36">
        <f t="shared" si="63"/>
        <v>2732</v>
      </c>
      <c r="N230" s="36" t="s">
        <v>384</v>
      </c>
      <c r="O230" s="170">
        <v>2277</v>
      </c>
      <c r="Q230" s="28"/>
    </row>
    <row r="231" spans="1:18" x14ac:dyDescent="0.3">
      <c r="A231" s="88" t="s">
        <v>128</v>
      </c>
      <c r="B231" s="88" t="s">
        <v>34</v>
      </c>
      <c r="C231" s="88" t="s">
        <v>463</v>
      </c>
      <c r="D231" s="40"/>
      <c r="E231" s="40" t="s">
        <v>1</v>
      </c>
      <c r="F231" s="89" t="str">
        <f t="shared" si="71"/>
        <v>Healthnet Classic Plan-2-AUH Abu Dhabi Maternity</v>
      </c>
      <c r="G231" s="19" t="str">
        <f t="shared" si="72"/>
        <v>Classic Plan-2-AUHMaternity</v>
      </c>
      <c r="H231" s="36">
        <f t="shared" si="70"/>
        <v>2857</v>
      </c>
      <c r="I231" s="36"/>
      <c r="J231" s="36">
        <v>1976</v>
      </c>
      <c r="K231" s="36">
        <f t="shared" si="73"/>
        <v>2371</v>
      </c>
      <c r="L231" s="36"/>
      <c r="M231" s="36">
        <f t="shared" si="63"/>
        <v>2371</v>
      </c>
      <c r="N231" s="36" t="s">
        <v>385</v>
      </c>
      <c r="O231" s="170">
        <v>1976</v>
      </c>
      <c r="Q231" s="28"/>
    </row>
    <row r="232" spans="1:18" x14ac:dyDescent="0.3">
      <c r="A232" s="88" t="s">
        <v>128</v>
      </c>
      <c r="B232" s="88" t="s">
        <v>34</v>
      </c>
      <c r="C232" s="88" t="s">
        <v>464</v>
      </c>
      <c r="D232" s="40"/>
      <c r="E232" s="40" t="s">
        <v>1</v>
      </c>
      <c r="F232" s="89" t="str">
        <f t="shared" si="71"/>
        <v>Healthnet Classic Plan-3-AUH Abu Dhabi Maternity</v>
      </c>
      <c r="G232" s="19" t="str">
        <f t="shared" si="72"/>
        <v>Classic Plan-3-AUHMaternity</v>
      </c>
      <c r="H232" s="36">
        <f t="shared" si="70"/>
        <v>2522</v>
      </c>
      <c r="I232" s="36"/>
      <c r="J232" s="36">
        <v>1744</v>
      </c>
      <c r="K232" s="36">
        <f t="shared" si="73"/>
        <v>2093</v>
      </c>
      <c r="L232" s="36"/>
      <c r="M232" s="36">
        <f t="shared" si="63"/>
        <v>2093</v>
      </c>
      <c r="N232" s="36" t="s">
        <v>386</v>
      </c>
      <c r="O232" s="170">
        <v>1744</v>
      </c>
      <c r="Q232" s="28"/>
    </row>
    <row r="233" spans="1:18" x14ac:dyDescent="0.3">
      <c r="A233" s="88" t="s">
        <v>128</v>
      </c>
      <c r="B233" s="88" t="s">
        <v>34</v>
      </c>
      <c r="C233" s="88" t="s">
        <v>465</v>
      </c>
      <c r="D233" s="40"/>
      <c r="E233" s="40" t="s">
        <v>1</v>
      </c>
      <c r="F233" s="89" t="str">
        <f t="shared" si="71"/>
        <v>Healthnet Classic Plan-4-AUH Abu Dhabi Maternity</v>
      </c>
      <c r="G233" s="19" t="str">
        <f t="shared" si="72"/>
        <v>Classic Plan-4-AUHMaternity</v>
      </c>
      <c r="H233" s="36">
        <f t="shared" si="70"/>
        <v>2472</v>
      </c>
      <c r="I233" s="36"/>
      <c r="J233" s="36">
        <v>1710</v>
      </c>
      <c r="K233" s="36">
        <f t="shared" si="73"/>
        <v>2052</v>
      </c>
      <c r="L233" s="36"/>
      <c r="M233" s="36">
        <f t="shared" si="63"/>
        <v>2052</v>
      </c>
      <c r="N233" s="36" t="s">
        <v>387</v>
      </c>
      <c r="O233" s="170">
        <v>1710</v>
      </c>
      <c r="Q233" s="28"/>
    </row>
    <row r="234" spans="1:18" x14ac:dyDescent="0.3">
      <c r="H234" s="93"/>
      <c r="I234" s="93"/>
      <c r="J234" s="93"/>
      <c r="K234" s="93"/>
      <c r="L234" s="93"/>
      <c r="M234" s="20"/>
      <c r="N234" s="20"/>
      <c r="Q234" s="178">
        <f>Q228+Q218</f>
        <v>8183.43</v>
      </c>
      <c r="R234" s="178">
        <f>R228+Q218</f>
        <v>7677.43</v>
      </c>
    </row>
    <row r="235" spans="1:18" x14ac:dyDescent="0.3">
      <c r="H235" s="93"/>
      <c r="I235" s="93"/>
      <c r="J235" s="93"/>
      <c r="K235" s="93"/>
      <c r="L235" s="93"/>
      <c r="M235" s="20"/>
      <c r="N235" s="20"/>
    </row>
    <row r="236" spans="1:18" x14ac:dyDescent="0.3">
      <c r="H236" s="93"/>
      <c r="I236" s="93"/>
      <c r="J236" s="93"/>
      <c r="K236" s="93"/>
      <c r="L236" s="93"/>
      <c r="M236" s="20"/>
      <c r="N236" s="20"/>
    </row>
    <row r="237" spans="1:18" x14ac:dyDescent="0.3">
      <c r="H237" s="93"/>
      <c r="I237" s="93"/>
      <c r="J237" s="93"/>
      <c r="K237" s="93"/>
      <c r="L237" s="93"/>
      <c r="M237" s="20"/>
      <c r="N237" s="20"/>
    </row>
    <row r="238" spans="1:18" x14ac:dyDescent="0.3">
      <c r="H238" s="93"/>
      <c r="I238" s="93"/>
      <c r="J238" s="93"/>
      <c r="K238" s="93"/>
      <c r="L238" s="93"/>
      <c r="M238" s="20"/>
      <c r="N238" s="20"/>
    </row>
    <row r="239" spans="1:18" x14ac:dyDescent="0.3">
      <c r="H239" s="93"/>
      <c r="I239" s="93"/>
      <c r="J239" s="93"/>
      <c r="K239" s="93"/>
      <c r="L239" s="93"/>
      <c r="M239" s="20"/>
      <c r="N239" s="20"/>
    </row>
    <row r="240" spans="1:18" x14ac:dyDescent="0.3">
      <c r="H240" s="93"/>
      <c r="I240" s="93"/>
      <c r="J240" s="93"/>
      <c r="K240" s="93"/>
      <c r="L240" s="93"/>
      <c r="M240" s="20"/>
      <c r="N240" s="20"/>
    </row>
    <row r="241" spans="8:14" x14ac:dyDescent="0.3">
      <c r="H241" s="93"/>
      <c r="I241" s="93"/>
      <c r="J241" s="93"/>
      <c r="K241" s="93"/>
      <c r="L241" s="93"/>
      <c r="M241" s="20"/>
      <c r="N241" s="20"/>
    </row>
    <row r="242" spans="8:14" x14ac:dyDescent="0.3">
      <c r="H242" s="93"/>
      <c r="I242" s="93"/>
      <c r="J242" s="93"/>
      <c r="K242" s="93"/>
      <c r="L242" s="93"/>
      <c r="M242" s="20"/>
      <c r="N242" s="20"/>
    </row>
    <row r="243" spans="8:14" x14ac:dyDescent="0.3">
      <c r="H243" s="93"/>
      <c r="I243" s="93"/>
      <c r="J243" s="93"/>
      <c r="K243" s="93"/>
      <c r="L243" s="93"/>
      <c r="M243" s="20"/>
      <c r="N243" s="20"/>
    </row>
    <row r="244" spans="8:14" x14ac:dyDescent="0.3">
      <c r="H244" s="93"/>
      <c r="I244" s="93"/>
      <c r="J244" s="93"/>
      <c r="K244" s="93"/>
      <c r="L244" s="93"/>
      <c r="M244" s="20"/>
      <c r="N244" s="20"/>
    </row>
    <row r="245" spans="8:14" x14ac:dyDescent="0.3">
      <c r="H245" s="21"/>
      <c r="I245" s="21"/>
      <c r="J245" s="21"/>
      <c r="K245" s="21"/>
      <c r="L245" s="21"/>
      <c r="M245" s="20"/>
      <c r="N245" s="20"/>
    </row>
    <row r="246" spans="8:14" x14ac:dyDescent="0.3">
      <c r="H246" s="22"/>
      <c r="I246" s="22"/>
      <c r="J246" s="22"/>
      <c r="K246" s="22"/>
      <c r="L246" s="22"/>
      <c r="M246" s="20"/>
      <c r="N246" s="20"/>
    </row>
  </sheetData>
  <autoFilter ref="B5:O233" xr:uid="{00000000-0009-0000-0000-000002000000}"/>
  <mergeCells count="22">
    <mergeCell ref="Z73:Z86"/>
    <mergeCell ref="AC73:AC86"/>
    <mergeCell ref="Z31:Z44"/>
    <mergeCell ref="AC31:AC44"/>
    <mergeCell ref="Z45:Z58"/>
    <mergeCell ref="AC45:AC58"/>
    <mergeCell ref="Z59:Z72"/>
    <mergeCell ref="AC59:AC72"/>
    <mergeCell ref="AM117:AN117"/>
    <mergeCell ref="Z131:Z142"/>
    <mergeCell ref="Z87:Z100"/>
    <mergeCell ref="AC87:AC100"/>
    <mergeCell ref="Z101:Z114"/>
    <mergeCell ref="AC101:AC114"/>
    <mergeCell ref="AG117:AH117"/>
    <mergeCell ref="AI117:AJ117"/>
    <mergeCell ref="AK117:AL117"/>
    <mergeCell ref="Z169:Z178"/>
    <mergeCell ref="Z119:Z130"/>
    <mergeCell ref="Z143:Z151"/>
    <mergeCell ref="Z179:Z188"/>
    <mergeCell ref="Z152:Z168"/>
  </mergeCells>
  <pageMargins left="0.7" right="0.7" top="0.75" bottom="0.75" header="0.3" footer="0.3"/>
  <pageSetup orientation="portrait" r:id="rId1"/>
  <headerFooter>
    <oddFooter>&amp;L_x000D_&amp;1#&amp;"Calibri"&amp;10&amp;K000000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rgb="FF800000"/>
    <pageSetUpPr fitToPage="1"/>
  </sheetPr>
  <dimension ref="A1:V84"/>
  <sheetViews>
    <sheetView tabSelected="1" view="pageBreakPreview" topLeftCell="A24" zoomScaleNormal="100" zoomScaleSheetLayoutView="100" workbookViewId="0">
      <selection activeCell="D34" sqref="D34:F34"/>
    </sheetView>
  </sheetViews>
  <sheetFormatPr defaultColWidth="9.109375" defaultRowHeight="13.8" x14ac:dyDescent="0.3"/>
  <cols>
    <col min="1" max="1" width="9.109375" style="17"/>
    <col min="2" max="2" width="7.5546875" style="17" bestFit="1" customWidth="1"/>
    <col min="3" max="3" width="11.5546875" style="17" bestFit="1" customWidth="1"/>
    <col min="4" max="4" width="12.33203125" style="17" bestFit="1" customWidth="1"/>
    <col min="5" max="5" width="12.109375" style="17" bestFit="1" customWidth="1"/>
    <col min="6" max="6" width="13.44140625" style="17" bestFit="1" customWidth="1"/>
    <col min="7" max="7" width="10.88671875" style="17" customWidth="1"/>
    <col min="8" max="8" width="11.109375" style="17" customWidth="1"/>
    <col min="9" max="9" width="13" style="17" bestFit="1" customWidth="1"/>
    <col min="10" max="10" width="14.44140625" style="17" bestFit="1" customWidth="1"/>
    <col min="11" max="11" width="8.88671875" style="17" customWidth="1"/>
    <col min="12" max="12" width="10.88671875" style="17" hidden="1" customWidth="1"/>
    <col min="13" max="13" width="9.5546875" style="17" customWidth="1"/>
    <col min="14" max="15" width="9.109375" style="17"/>
    <col min="16" max="16" width="14.109375" style="17" bestFit="1" customWidth="1"/>
    <col min="17" max="20" width="0" style="17" hidden="1" customWidth="1"/>
    <col min="21" max="16384" width="9.109375" style="17"/>
  </cols>
  <sheetData>
    <row r="1" spans="2:22" hidden="1" x14ac:dyDescent="0.3">
      <c r="M1" s="17" t="s">
        <v>115</v>
      </c>
    </row>
    <row r="2" spans="2:22" hidden="1" x14ac:dyDescent="0.3">
      <c r="B2" s="88" t="s">
        <v>405</v>
      </c>
      <c r="M2" s="17" t="s">
        <v>59</v>
      </c>
    </row>
    <row r="3" spans="2:22" ht="14.4" hidden="1" x14ac:dyDescent="0.3">
      <c r="B3" s="88" t="s">
        <v>406</v>
      </c>
      <c r="M3" s="17" t="s">
        <v>60</v>
      </c>
      <c r="P3" s="88" t="s">
        <v>430</v>
      </c>
      <c r="Q3" s="12" t="s">
        <v>498</v>
      </c>
      <c r="R3" s="136">
        <v>48422</v>
      </c>
      <c r="S3"/>
      <c r="T3" s="88" t="s">
        <v>430</v>
      </c>
      <c r="U3" s="12" t="s">
        <v>499</v>
      </c>
      <c r="V3" s="137">
        <v>48426</v>
      </c>
    </row>
    <row r="4" spans="2:22" ht="14.4" hidden="1" x14ac:dyDescent="0.3">
      <c r="B4" s="88" t="s">
        <v>454</v>
      </c>
      <c r="M4" s="17" t="s">
        <v>61</v>
      </c>
      <c r="P4" s="88" t="s">
        <v>431</v>
      </c>
      <c r="Q4" s="12" t="s">
        <v>498</v>
      </c>
      <c r="R4" s="136">
        <v>48455</v>
      </c>
      <c r="S4"/>
      <c r="T4" s="88" t="s">
        <v>431</v>
      </c>
      <c r="U4" s="12" t="s">
        <v>499</v>
      </c>
      <c r="V4" s="136">
        <v>48453</v>
      </c>
    </row>
    <row r="5" spans="2:22" ht="14.4" hidden="1" x14ac:dyDescent="0.3">
      <c r="B5" s="88" t="s">
        <v>455</v>
      </c>
      <c r="I5" s="17" t="s">
        <v>115</v>
      </c>
      <c r="M5" s="17" t="s">
        <v>62</v>
      </c>
      <c r="P5" s="88" t="s">
        <v>462</v>
      </c>
      <c r="Q5" s="12" t="s">
        <v>498</v>
      </c>
      <c r="R5" s="136">
        <v>48457</v>
      </c>
      <c r="S5"/>
      <c r="T5" s="88" t="s">
        <v>462</v>
      </c>
      <c r="U5" s="12" t="s">
        <v>499</v>
      </c>
      <c r="V5" s="136">
        <v>48460</v>
      </c>
    </row>
    <row r="6" spans="2:22" ht="14.4" hidden="1" x14ac:dyDescent="0.3">
      <c r="B6" s="88" t="s">
        <v>456</v>
      </c>
      <c r="G6" s="17" t="s">
        <v>65</v>
      </c>
      <c r="I6" s="17" t="s">
        <v>59</v>
      </c>
      <c r="M6" s="17" t="s">
        <v>63</v>
      </c>
      <c r="P6" s="88" t="s">
        <v>463</v>
      </c>
      <c r="Q6" s="12" t="s">
        <v>498</v>
      </c>
      <c r="R6" s="136">
        <v>48461</v>
      </c>
      <c r="S6"/>
      <c r="T6" s="88" t="s">
        <v>463</v>
      </c>
      <c r="U6" s="12" t="s">
        <v>499</v>
      </c>
      <c r="V6" s="136">
        <v>48465</v>
      </c>
    </row>
    <row r="7" spans="2:22" ht="14.4" hidden="1" x14ac:dyDescent="0.3">
      <c r="B7" s="88" t="s">
        <v>457</v>
      </c>
      <c r="D7" s="16" t="s">
        <v>4</v>
      </c>
      <c r="G7" s="17" t="s">
        <v>66</v>
      </c>
      <c r="I7" s="17" t="s">
        <v>60</v>
      </c>
      <c r="M7" s="17" t="s">
        <v>34</v>
      </c>
      <c r="P7" s="88" t="s">
        <v>464</v>
      </c>
      <c r="Q7" s="12" t="s">
        <v>498</v>
      </c>
      <c r="R7" s="136">
        <v>48468</v>
      </c>
      <c r="S7"/>
      <c r="T7" s="88" t="s">
        <v>464</v>
      </c>
      <c r="U7" s="12" t="s">
        <v>499</v>
      </c>
      <c r="V7" s="136">
        <v>48468</v>
      </c>
    </row>
    <row r="8" spans="2:22" ht="14.4" hidden="1" x14ac:dyDescent="0.3">
      <c r="B8" s="88" t="s">
        <v>458</v>
      </c>
      <c r="D8" s="16" t="s">
        <v>31</v>
      </c>
      <c r="I8" s="17" t="s">
        <v>61</v>
      </c>
      <c r="M8" s="17" t="s">
        <v>64</v>
      </c>
      <c r="P8" s="88" t="s">
        <v>465</v>
      </c>
      <c r="Q8" s="12" t="s">
        <v>498</v>
      </c>
      <c r="R8" s="136">
        <v>48469</v>
      </c>
      <c r="S8"/>
      <c r="T8" s="88" t="s">
        <v>465</v>
      </c>
      <c r="U8" s="12" t="s">
        <v>499</v>
      </c>
      <c r="V8" s="136">
        <v>48471</v>
      </c>
    </row>
    <row r="9" spans="2:22" ht="14.4" hidden="1" thickBot="1" x14ac:dyDescent="0.35">
      <c r="B9" s="88" t="s">
        <v>459</v>
      </c>
      <c r="G9" s="17" t="s">
        <v>20</v>
      </c>
      <c r="I9" s="17" t="s">
        <v>62</v>
      </c>
      <c r="L9" s="17" t="s">
        <v>33</v>
      </c>
      <c r="P9" s="28"/>
    </row>
    <row r="10" spans="2:22" ht="14.4" hidden="1" thickBot="1" x14ac:dyDescent="0.35">
      <c r="B10" s="88" t="s">
        <v>460</v>
      </c>
      <c r="D10" s="16" t="s">
        <v>5</v>
      </c>
      <c r="G10" s="17" t="s">
        <v>21</v>
      </c>
      <c r="I10" s="17" t="s">
        <v>63</v>
      </c>
      <c r="L10" s="17" t="s">
        <v>34</v>
      </c>
      <c r="O10" s="17" t="s">
        <v>500</v>
      </c>
      <c r="P10" s="139" t="str">
        <f>IF(D35="Dubai","",IF(D36="Yes",VLOOKUP(D34,T3:V8,3,0),VLOOKUP(D34,P3:R8,3,0)))</f>
        <v/>
      </c>
    </row>
    <row r="11" spans="2:22" ht="14.4" hidden="1" thickBot="1" x14ac:dyDescent="0.35">
      <c r="B11" s="88" t="s">
        <v>461</v>
      </c>
      <c r="D11" s="16" t="s">
        <v>7</v>
      </c>
      <c r="I11" s="17" t="s">
        <v>34</v>
      </c>
      <c r="P11" s="28"/>
    </row>
    <row r="12" spans="2:22" ht="14.4" hidden="1" thickBot="1" x14ac:dyDescent="0.35">
      <c r="B12" s="88" t="s">
        <v>430</v>
      </c>
      <c r="C12" s="13"/>
      <c r="D12" s="13"/>
      <c r="E12" s="13"/>
      <c r="F12" s="13"/>
      <c r="G12" s="13"/>
      <c r="H12" s="13"/>
      <c r="I12" s="17" t="s">
        <v>64</v>
      </c>
      <c r="P12" s="138" t="str">
        <f>_xlfn.CONCAT(O10," ",P10)</f>
        <v xml:space="preserve">DOH #  </v>
      </c>
    </row>
    <row r="13" spans="2:22" ht="14.4" hidden="1" thickBot="1" x14ac:dyDescent="0.35">
      <c r="B13" s="88" t="s">
        <v>431</v>
      </c>
      <c r="C13" s="13"/>
      <c r="D13" s="12" t="s">
        <v>6</v>
      </c>
      <c r="E13" s="13"/>
      <c r="F13" s="13"/>
      <c r="G13" s="13"/>
      <c r="H13" s="13"/>
      <c r="P13" s="138"/>
    </row>
    <row r="14" spans="2:22" hidden="1" x14ac:dyDescent="0.3">
      <c r="B14" s="88" t="s">
        <v>462</v>
      </c>
      <c r="C14" s="13"/>
      <c r="D14" s="12" t="s">
        <v>8</v>
      </c>
      <c r="E14" s="13"/>
      <c r="F14" s="38" t="s">
        <v>128</v>
      </c>
      <c r="G14" s="13"/>
      <c r="H14" s="13"/>
      <c r="P14" s="28"/>
    </row>
    <row r="15" spans="2:22" hidden="1" x14ac:dyDescent="0.3">
      <c r="B15" s="88" t="s">
        <v>463</v>
      </c>
      <c r="C15" s="13"/>
      <c r="D15" s="12" t="s">
        <v>32</v>
      </c>
      <c r="E15" s="13"/>
      <c r="F15" s="38" t="s">
        <v>128</v>
      </c>
      <c r="G15" s="13"/>
      <c r="H15" s="13"/>
      <c r="P15" s="28"/>
    </row>
    <row r="16" spans="2:22" hidden="1" x14ac:dyDescent="0.3">
      <c r="B16" s="88" t="s">
        <v>464</v>
      </c>
      <c r="C16" s="13"/>
      <c r="D16" s="13"/>
      <c r="E16" s="13"/>
      <c r="F16" s="13"/>
      <c r="G16" s="13"/>
      <c r="H16" s="13"/>
      <c r="I16" s="28"/>
      <c r="P16" s="28"/>
    </row>
    <row r="17" spans="1:16" hidden="1" x14ac:dyDescent="0.3">
      <c r="B17" s="88" t="s">
        <v>465</v>
      </c>
      <c r="C17" s="13"/>
      <c r="D17" s="13" t="s">
        <v>558</v>
      </c>
      <c r="E17" s="13" t="s">
        <v>20</v>
      </c>
      <c r="F17" s="13"/>
      <c r="G17" s="13"/>
      <c r="H17" s="13"/>
      <c r="I17" s="28"/>
      <c r="P17" s="28"/>
    </row>
    <row r="18" spans="1:16" hidden="1" x14ac:dyDescent="0.3">
      <c r="C18" s="13"/>
      <c r="D18" s="13" t="s">
        <v>559</v>
      </c>
      <c r="E18" s="13" t="s">
        <v>21</v>
      </c>
      <c r="F18" s="13"/>
      <c r="G18" s="13"/>
      <c r="H18" s="13"/>
      <c r="I18" s="28"/>
      <c r="P18" s="28"/>
    </row>
    <row r="19" spans="1:16" hidden="1" x14ac:dyDescent="0.3">
      <c r="C19" s="13"/>
      <c r="D19" s="13"/>
      <c r="E19" s="13"/>
      <c r="F19" s="13"/>
      <c r="G19" s="13"/>
      <c r="H19" s="13"/>
      <c r="I19" s="28"/>
      <c r="P19" s="28"/>
    </row>
    <row r="20" spans="1:16" hidden="1" x14ac:dyDescent="0.3">
      <c r="C20" s="13"/>
      <c r="D20" s="13" t="s">
        <v>33</v>
      </c>
      <c r="E20" s="13"/>
      <c r="F20" s="13"/>
      <c r="G20" s="13"/>
      <c r="H20" s="13"/>
      <c r="I20" s="28"/>
      <c r="L20" s="17" t="str">
        <f>CONCATENATE(J33," ",J35,"- ",J36)</f>
        <v xml:space="preserve">Head Office - </v>
      </c>
    </row>
    <row r="21" spans="1:16" hidden="1" x14ac:dyDescent="0.3">
      <c r="C21" s="13"/>
      <c r="D21" s="13" t="s">
        <v>538</v>
      </c>
      <c r="E21" s="13"/>
      <c r="F21" s="13"/>
      <c r="G21" s="13"/>
      <c r="H21" s="13"/>
      <c r="I21" s="28"/>
    </row>
    <row r="22" spans="1:16" hidden="1" x14ac:dyDescent="0.3">
      <c r="C22" s="13"/>
      <c r="D22" s="13" t="s">
        <v>539</v>
      </c>
      <c r="E22" s="13"/>
      <c r="F22" s="13"/>
      <c r="G22" s="13"/>
      <c r="I22" s="28"/>
      <c r="L22" s="17" t="s">
        <v>494</v>
      </c>
    </row>
    <row r="23" spans="1:16" ht="21" hidden="1" customHeight="1" x14ac:dyDescent="0.3">
      <c r="B23" s="13"/>
      <c r="C23" s="13"/>
      <c r="D23" s="13"/>
      <c r="E23" s="13"/>
      <c r="F23" s="13"/>
      <c r="G23" s="13"/>
      <c r="I23" s="28"/>
      <c r="L23" s="17" t="s">
        <v>492</v>
      </c>
    </row>
    <row r="24" spans="1:16" x14ac:dyDescent="0.3">
      <c r="B24" s="13"/>
      <c r="C24" s="13"/>
      <c r="D24" s="13"/>
      <c r="E24" s="13"/>
      <c r="F24" s="13"/>
      <c r="G24" s="13"/>
    </row>
    <row r="25" spans="1:16" x14ac:dyDescent="0.3">
      <c r="B25" s="13"/>
      <c r="C25" s="13"/>
      <c r="D25" s="13"/>
      <c r="E25" s="13"/>
      <c r="F25" s="13"/>
      <c r="G25" s="13"/>
    </row>
    <row r="26" spans="1:16" ht="15" customHeight="1" x14ac:dyDescent="0.3">
      <c r="B26" s="13"/>
      <c r="C26" s="13"/>
      <c r="D26" s="13"/>
      <c r="E26" s="13"/>
      <c r="F26" s="13"/>
      <c r="G26" s="13"/>
    </row>
    <row r="27" spans="1:16" ht="15.75" customHeight="1" thickBot="1" x14ac:dyDescent="0.35">
      <c r="A27" s="130"/>
      <c r="B27" s="131"/>
      <c r="C27" s="131"/>
      <c r="D27" s="131"/>
      <c r="E27" s="131"/>
      <c r="F27" s="131"/>
      <c r="G27" s="131"/>
      <c r="H27" s="131"/>
      <c r="I27" s="131"/>
      <c r="J27" s="129"/>
      <c r="N27" s="23" t="s">
        <v>490</v>
      </c>
      <c r="O27" s="23" t="s">
        <v>491</v>
      </c>
      <c r="P27" s="131"/>
    </row>
    <row r="28" spans="1:16" ht="15" customHeight="1" thickBot="1" x14ac:dyDescent="0.35">
      <c r="A28" s="31"/>
      <c r="B28" s="31"/>
      <c r="C28" s="31"/>
      <c r="D28" s="31"/>
      <c r="E28" s="147">
        <v>0.05</v>
      </c>
      <c r="F28" s="248" t="str">
        <f>IF(E28&gt;15%,"Maximum Commission is 15%"," ")</f>
        <v xml:space="preserve"> </v>
      </c>
      <c r="G28" s="249"/>
      <c r="H28" s="249"/>
      <c r="I28" s="252" t="s">
        <v>507</v>
      </c>
      <c r="J28" s="252"/>
      <c r="K28" s="252"/>
      <c r="L28" s="252"/>
      <c r="M28" s="141" t="s">
        <v>494</v>
      </c>
      <c r="N28" s="143"/>
      <c r="O28" s="64"/>
      <c r="P28" s="129"/>
    </row>
    <row r="29" spans="1:16" ht="15" customHeight="1" x14ac:dyDescent="0.3">
      <c r="A29" s="31"/>
      <c r="B29" s="31"/>
      <c r="C29" s="31"/>
      <c r="D29" s="31"/>
      <c r="E29" s="31"/>
      <c r="F29" s="31"/>
      <c r="G29" s="81"/>
      <c r="H29" s="81"/>
      <c r="I29" s="252"/>
      <c r="J29" s="252"/>
      <c r="K29" s="252"/>
      <c r="L29" s="252"/>
      <c r="M29" s="132"/>
      <c r="N29" s="38"/>
      <c r="O29" s="38"/>
      <c r="P29" s="38"/>
    </row>
    <row r="30" spans="1:16" x14ac:dyDescent="0.3">
      <c r="A30" s="70"/>
      <c r="B30" s="70"/>
      <c r="C30" s="70"/>
      <c r="D30" s="70"/>
      <c r="E30" s="70"/>
      <c r="F30" s="70"/>
      <c r="G30" s="70"/>
      <c r="H30" s="70"/>
      <c r="I30" s="70"/>
      <c r="J30" s="70"/>
      <c r="K30" s="70"/>
      <c r="L30" s="70"/>
      <c r="M30" s="70"/>
      <c r="N30" s="70"/>
      <c r="O30" s="222" t="s">
        <v>597</v>
      </c>
      <c r="P30" s="222"/>
    </row>
    <row r="31" spans="1:16" x14ac:dyDescent="0.3">
      <c r="B31" s="13"/>
      <c r="C31" s="13"/>
      <c r="D31" s="13"/>
      <c r="E31" s="13"/>
      <c r="F31" s="13"/>
      <c r="G31" s="13"/>
    </row>
    <row r="32" spans="1:16" x14ac:dyDescent="0.3">
      <c r="A32" s="209" t="s">
        <v>129</v>
      </c>
      <c r="B32" s="209"/>
      <c r="C32" s="209"/>
      <c r="D32" s="217"/>
      <c r="E32" s="217"/>
      <c r="F32" s="217"/>
      <c r="H32" s="62" t="s">
        <v>57</v>
      </c>
      <c r="I32" s="62"/>
      <c r="J32" s="251" t="s">
        <v>65</v>
      </c>
      <c r="K32" s="251"/>
    </row>
    <row r="33" spans="1:18" x14ac:dyDescent="0.3">
      <c r="A33" s="209" t="s">
        <v>176</v>
      </c>
      <c r="B33" s="209"/>
      <c r="C33" s="209"/>
      <c r="D33" s="218" t="s">
        <v>128</v>
      </c>
      <c r="E33" s="218"/>
      <c r="F33" s="218"/>
      <c r="H33" s="63" t="s">
        <v>58</v>
      </c>
      <c r="I33" s="63"/>
      <c r="J33" s="251" t="s">
        <v>115</v>
      </c>
      <c r="K33" s="251"/>
    </row>
    <row r="34" spans="1:18" x14ac:dyDescent="0.3">
      <c r="A34" s="219" t="s">
        <v>175</v>
      </c>
      <c r="B34" s="219"/>
      <c r="C34" s="219"/>
      <c r="D34" s="220" t="s">
        <v>455</v>
      </c>
      <c r="E34" s="220"/>
      <c r="F34" s="220"/>
      <c r="H34" s="63" t="s">
        <v>22</v>
      </c>
      <c r="I34" s="63"/>
      <c r="J34" s="251"/>
      <c r="K34" s="251"/>
      <c r="R34" s="17" t="s">
        <v>55</v>
      </c>
    </row>
    <row r="35" spans="1:18" x14ac:dyDescent="0.3">
      <c r="A35" s="209" t="s">
        <v>67</v>
      </c>
      <c r="B35" s="209"/>
      <c r="C35" s="209"/>
      <c r="D35" s="218" t="s">
        <v>33</v>
      </c>
      <c r="E35" s="218"/>
      <c r="F35" s="218"/>
      <c r="G35" s="13"/>
      <c r="H35" s="63" t="s">
        <v>69</v>
      </c>
      <c r="I35" s="63"/>
      <c r="J35" s="251"/>
      <c r="K35" s="251"/>
    </row>
    <row r="36" spans="1:18" ht="14.4" thickBot="1" x14ac:dyDescent="0.35">
      <c r="A36" s="209" t="s">
        <v>379</v>
      </c>
      <c r="B36" s="209"/>
      <c r="C36" s="209"/>
      <c r="D36" s="210" t="s">
        <v>558</v>
      </c>
      <c r="E36" s="210"/>
      <c r="F36" s="210"/>
      <c r="G36" s="13"/>
      <c r="H36" s="17" t="s">
        <v>178</v>
      </c>
      <c r="J36" s="251"/>
      <c r="K36" s="251"/>
    </row>
    <row r="37" spans="1:18" ht="15.75" customHeight="1" thickBot="1" x14ac:dyDescent="0.35">
      <c r="A37" s="209" t="s">
        <v>537</v>
      </c>
      <c r="B37" s="209"/>
      <c r="C37" s="209"/>
      <c r="D37" s="210" t="s">
        <v>539</v>
      </c>
      <c r="E37" s="210"/>
      <c r="F37" s="210"/>
      <c r="G37" s="13"/>
      <c r="H37" s="173"/>
      <c r="J37" s="202" t="s">
        <v>579</v>
      </c>
      <c r="K37" s="203"/>
    </row>
    <row r="38" spans="1:18" ht="15" customHeight="1" x14ac:dyDescent="0.3">
      <c r="A38" s="208" t="s">
        <v>578</v>
      </c>
      <c r="B38" s="208"/>
      <c r="C38" s="208"/>
      <c r="D38" s="201" t="s">
        <v>575</v>
      </c>
      <c r="E38" s="201"/>
      <c r="F38" s="201"/>
      <c r="G38" s="13"/>
      <c r="J38" s="204" t="str">
        <f>VLOOKUP(D38,'TOB IN PUT'!E38:F46,2,0)</f>
        <v>Please Proceed</v>
      </c>
      <c r="K38" s="205"/>
    </row>
    <row r="39" spans="1:18" ht="24" customHeight="1" thickBot="1" x14ac:dyDescent="0.35">
      <c r="A39" s="208"/>
      <c r="B39" s="208"/>
      <c r="C39" s="208"/>
      <c r="D39" s="201"/>
      <c r="E39" s="201"/>
      <c r="F39" s="201"/>
      <c r="G39" s="13"/>
      <c r="J39" s="206"/>
      <c r="K39" s="207"/>
      <c r="R39" s="128"/>
    </row>
    <row r="40" spans="1:18" ht="13.5" customHeight="1" x14ac:dyDescent="0.3">
      <c r="A40" s="212" t="s">
        <v>68</v>
      </c>
      <c r="B40" s="212"/>
      <c r="C40" s="212"/>
      <c r="D40" s="31"/>
      <c r="E40" s="31"/>
      <c r="F40" s="31"/>
      <c r="G40" s="31"/>
      <c r="H40" s="31"/>
      <c r="I40" s="31"/>
      <c r="J40" s="31"/>
      <c r="K40" s="118"/>
      <c r="L40" s="32"/>
      <c r="M40" s="32"/>
      <c r="N40" s="119"/>
    </row>
    <row r="41" spans="1:18" ht="27.6" x14ac:dyDescent="0.3">
      <c r="A41" s="216" t="s">
        <v>19</v>
      </c>
      <c r="B41" s="216"/>
      <c r="C41" s="216"/>
      <c r="D41" s="71" t="s">
        <v>18</v>
      </c>
      <c r="E41" s="71" t="s">
        <v>27</v>
      </c>
      <c r="F41" s="71" t="s">
        <v>28</v>
      </c>
      <c r="G41" s="71" t="s">
        <v>29</v>
      </c>
      <c r="H41" s="71" t="s">
        <v>24</v>
      </c>
      <c r="I41" s="71" t="s">
        <v>30</v>
      </c>
      <c r="J41" s="71" t="s">
        <v>23</v>
      </c>
      <c r="K41" s="71" t="s">
        <v>50</v>
      </c>
      <c r="L41" s="33" t="s">
        <v>53</v>
      </c>
      <c r="M41" s="33" t="s">
        <v>54</v>
      </c>
      <c r="N41" s="33" t="s">
        <v>380</v>
      </c>
      <c r="O41" s="33" t="s">
        <v>1</v>
      </c>
      <c r="P41" s="33" t="s">
        <v>25</v>
      </c>
      <c r="R41" s="148" t="s">
        <v>53</v>
      </c>
    </row>
    <row r="42" spans="1:18" x14ac:dyDescent="0.3">
      <c r="A42" s="211" t="s">
        <v>598</v>
      </c>
      <c r="B42" s="211"/>
      <c r="C42" s="211"/>
      <c r="D42" s="78" t="s">
        <v>5</v>
      </c>
      <c r="E42" s="79">
        <v>27003</v>
      </c>
      <c r="F42" s="78" t="s">
        <v>4</v>
      </c>
      <c r="G42" s="80" t="s">
        <v>6</v>
      </c>
      <c r="H42" s="78" t="s">
        <v>599</v>
      </c>
      <c r="I42" s="34">
        <f ca="1">IFERROR((IF(E42=0,"",(ROUND((TODAY()-E42)/365.25,0)))),"")</f>
        <v>52</v>
      </c>
      <c r="J42" s="34" t="str">
        <f ca="1">IFERROR(IF((CONCATENATE($D$33,"&amp;",$D$35))='Age Band'!$A$1,VLOOKUP('Census List'!I42,'Age Band'!$A:$B,2,0),IF((CONCATENATE($D$33,"&amp;",$D$35))='Age Band'!$D$1,VLOOKUP('Census List'!I42,'Age Band'!$D:$E,2,0),(IF($D$35='Age Band'!$G$1,VLOOKUP('Census List'!I42,'Age Band'!$G:$H,2,0),0)))),"")</f>
        <v>46-55</v>
      </c>
      <c r="K42" s="51">
        <f ca="1">IFERROR((VLOOKUP((CONCATENATE($D$33," ",$D$34," ",$D$35," ",J42," ",D42)),'Premium working'!$F$5:$H$227,3,0)),"")</f>
        <v>8461</v>
      </c>
      <c r="L42" s="64">
        <v>0</v>
      </c>
      <c r="M42" s="52">
        <f t="shared" ref="M42:M51" ca="1" si="0">IFERROR(K42+(K42*R42),"")</f>
        <v>8461</v>
      </c>
      <c r="N42" s="52">
        <f>IFERROR(IF(E42&lt;&gt;"",(IF($D$36="Enhanced",(VLOOKUP((CONCATENATE($D$33," ",$D$34," ",$D$35)),'Premium working'!$T$4:$U$19,2,0)),0)),""),"")</f>
        <v>361</v>
      </c>
      <c r="O42" s="52">
        <f>IFERROR(IF($D$35="Dubai",IF((COUNTIFS(D42,"Female",F42,"Married",I42,"&gt;=18",I42,"&lt;=45"))=1,VLOOKUP((CONCATENATE($D$33," ",$D$34," ",$D$35," Maternity")),'Premium working'!$F:$H,3,0),0),IF($D$35="Abu Dhabi",IF((COUNTIFS(D42,"Female",F42,"Married",I42,"&gt;=18",I42,"&lt;=50"))=1,VLOOKUP((CONCATENATE($D$33," ",$D$34," ",$D$35," Maternity")),'Premium working'!$F:$H,3,0),),"Not Applicable")),"")</f>
        <v>0</v>
      </c>
      <c r="P42" s="52">
        <f ca="1">IFERROR(M42+N42+O42,"")</f>
        <v>8822</v>
      </c>
      <c r="R42" s="64">
        <v>0</v>
      </c>
    </row>
    <row r="43" spans="1:18" x14ac:dyDescent="0.3">
      <c r="A43" s="213" t="s">
        <v>600</v>
      </c>
      <c r="B43" s="214"/>
      <c r="C43" s="215"/>
      <c r="D43" s="78" t="s">
        <v>7</v>
      </c>
      <c r="E43" s="79">
        <v>28911</v>
      </c>
      <c r="F43" s="78" t="s">
        <v>4</v>
      </c>
      <c r="G43" s="80" t="s">
        <v>8</v>
      </c>
      <c r="H43" s="78" t="s">
        <v>599</v>
      </c>
      <c r="I43" s="34">
        <f t="shared" ref="I43:I51" ca="1" si="1">IFERROR((IF(E43=0,"",(ROUND((TODAY()-E43)/365.25,0)))),"")</f>
        <v>47</v>
      </c>
      <c r="J43" s="34" t="str">
        <f ca="1">IFERROR(IF((CONCATENATE($D$33,"&amp;",$D$35))='Age Band'!$A$1,VLOOKUP('Census List'!I43,'Age Band'!$A:$B,2,0),IF((CONCATENATE($D$33,"&amp;",$D$35))='Age Band'!$D$1,VLOOKUP('Census List'!I43,'Age Band'!$D:$E,2,0),(IF($D$35='Age Band'!$G$1,VLOOKUP('Census List'!I43,'Age Band'!$G:$H,2,0),0)))),"")</f>
        <v>46-55</v>
      </c>
      <c r="K43" s="51">
        <f ca="1">IFERROR((VLOOKUP((CONCATENATE($D$33," ",$D$34," ",$D$35," ",J43," ",D43)),'Premium working'!$F$5:$H$227,3,0)),"")</f>
        <v>10835</v>
      </c>
      <c r="L43" s="64">
        <v>0</v>
      </c>
      <c r="M43" s="52">
        <f t="shared" ca="1" si="0"/>
        <v>10835</v>
      </c>
      <c r="N43" s="52">
        <f>IFERROR(IF(E43&lt;&gt;"",(IF($D$36="Enhanced",(VLOOKUP((CONCATENATE($D$33," ",$D$34," ",$D$35)),'Premium working'!$T$4:$U$19,2,0)),0)),""),"")</f>
        <v>361</v>
      </c>
      <c r="O43" s="52">
        <f ca="1">IFERROR(IF($D$35="Dubai",IF((COUNTIFS(D43,"Female",F43,"Married",I43,"&gt;=18",I43,"&lt;=45"))=1,VLOOKUP((CONCATENATE($D$33," ",$D$34," ",$D$35," Maternity")),'Premium working'!$F:$H,3,0),0),IF($D$35="Abu Dhabi",IF((COUNTIFS(D43,"Female",F43,"Married",I43,"&gt;=18",I43,"&lt;=50"))=1,VLOOKUP((CONCATENATE($D$33," ",$D$34," ",$D$35," Maternity")),'Premium working'!$F:$H,3,0),),"Not Applicable")),"")</f>
        <v>0</v>
      </c>
      <c r="P43" s="52">
        <f t="shared" ref="P43:P51" ca="1" si="2">IFERROR(M43+N43+O43,"")</f>
        <v>11196</v>
      </c>
      <c r="R43" s="64">
        <v>0</v>
      </c>
    </row>
    <row r="44" spans="1:18" x14ac:dyDescent="0.3">
      <c r="A44" s="213" t="s">
        <v>601</v>
      </c>
      <c r="B44" s="214"/>
      <c r="C44" s="215"/>
      <c r="D44" s="78" t="s">
        <v>7</v>
      </c>
      <c r="E44" s="79">
        <v>40409</v>
      </c>
      <c r="F44" s="78" t="s">
        <v>31</v>
      </c>
      <c r="G44" s="80" t="s">
        <v>32</v>
      </c>
      <c r="H44" s="78" t="s">
        <v>599</v>
      </c>
      <c r="I44" s="34">
        <f t="shared" ca="1" si="1"/>
        <v>15</v>
      </c>
      <c r="J44" s="34" t="str">
        <f ca="1">IFERROR(IF((CONCATENATE($D$33,"&amp;",$D$35))='Age Band'!$A$1,VLOOKUP('Census List'!I44,'Age Band'!$A:$B,2,0),IF((CONCATENATE($D$33,"&amp;",$D$35))='Age Band'!$D$1,VLOOKUP('Census List'!I44,'Age Band'!$D:$E,2,0),(IF($D$35='Age Band'!$G$1,VLOOKUP('Census List'!I44,'Age Band'!$G:$H,2,0),0)))),"")</f>
        <v>00-17</v>
      </c>
      <c r="K44" s="51">
        <f ca="1">IFERROR((VLOOKUP((CONCATENATE($D$33," ",$D$34," ",$D$35," ",J44," ",D44)),'Premium working'!$F$5:$H$227,3,0)),"")</f>
        <v>5128</v>
      </c>
      <c r="L44" s="64">
        <v>0</v>
      </c>
      <c r="M44" s="52">
        <f t="shared" ca="1" si="0"/>
        <v>5128</v>
      </c>
      <c r="N44" s="52">
        <f>IFERROR(IF(E44&lt;&gt;"",(IF($D$36="Enhanced",(VLOOKUP((CONCATENATE($D$33," ",$D$34," ",$D$35)),'Premium working'!$T$4:$U$19,2,0)),0)),""),"")</f>
        <v>361</v>
      </c>
      <c r="O44" s="52">
        <f>IFERROR(IF($D$35="Dubai",IF((COUNTIFS(D44,"Female",F44,"Married",I44,"&gt;=18",I44,"&lt;=45"))=1,VLOOKUP((CONCATENATE($D$33," ",$D$34," ",$D$35," Maternity")),'Premium working'!$F:$H,3,0),0),IF($D$35="Abu Dhabi",IF((COUNTIFS(D44,"Female",F44,"Married",I44,"&gt;=18",I44,"&lt;=50"))=1,VLOOKUP((CONCATENATE($D$33," ",$D$34," ",$D$35," Maternity")),'Premium working'!$F:$H,3,0),),"Not Applicable")),"")</f>
        <v>0</v>
      </c>
      <c r="P44" s="52">
        <f t="shared" ca="1" si="2"/>
        <v>5489</v>
      </c>
      <c r="R44" s="64">
        <v>0</v>
      </c>
    </row>
    <row r="45" spans="1:18" x14ac:dyDescent="0.3">
      <c r="A45" s="213" t="s">
        <v>602</v>
      </c>
      <c r="B45" s="214"/>
      <c r="C45" s="215"/>
      <c r="D45" s="78" t="s">
        <v>5</v>
      </c>
      <c r="E45" s="79">
        <v>39320</v>
      </c>
      <c r="F45" s="78" t="s">
        <v>31</v>
      </c>
      <c r="G45" s="80" t="s">
        <v>32</v>
      </c>
      <c r="H45" s="78" t="s">
        <v>599</v>
      </c>
      <c r="I45" s="34">
        <f t="shared" ca="1" si="1"/>
        <v>18</v>
      </c>
      <c r="J45" s="34" t="str">
        <f ca="1">IFERROR(IF((CONCATENATE($D$33,"&amp;",$D$35))='Age Band'!$A$1,VLOOKUP('Census List'!I45,'Age Band'!$A:$B,2,0),IF((CONCATENATE($D$33,"&amp;",$D$35))='Age Band'!$D$1,VLOOKUP('Census List'!I45,'Age Band'!$D:$E,2,0),(IF($D$35='Age Band'!$G$1,VLOOKUP('Census List'!I45,'Age Band'!$G:$H,2,0),0)))),"")</f>
        <v>18-35</v>
      </c>
      <c r="K45" s="51">
        <f ca="1">IFERROR((VLOOKUP((CONCATENATE($D$33," ",$D$34," ",$D$35," ",J45," ",D45)),'Premium working'!$F$5:$H$227,3,0)),"")</f>
        <v>4439</v>
      </c>
      <c r="L45" s="64">
        <v>0</v>
      </c>
      <c r="M45" s="52">
        <f t="shared" ca="1" si="0"/>
        <v>4439</v>
      </c>
      <c r="N45" s="52">
        <f>IFERROR(IF(E45&lt;&gt;"",(IF($D$36="Enhanced",(VLOOKUP((CONCATENATE($D$33," ",$D$34," ",$D$35)),'Premium working'!$T$4:$U$19,2,0)),0)),""),"")</f>
        <v>361</v>
      </c>
      <c r="O45" s="52">
        <f>IFERROR(IF($D$35="Dubai",IF((COUNTIFS(D45,"Female",F45,"Married",I45,"&gt;=18",I45,"&lt;=45"))=1,VLOOKUP((CONCATENATE($D$33," ",$D$34," ",$D$35," Maternity")),'Premium working'!$F:$H,3,0),0),IF($D$35="Abu Dhabi",IF((COUNTIFS(D45,"Female",F45,"Married",I45,"&gt;=18",I45,"&lt;=50"))=1,VLOOKUP((CONCATENATE($D$33," ",$D$34," ",$D$35," Maternity")),'Premium working'!$F:$H,3,0),),"Not Applicable")),"")</f>
        <v>0</v>
      </c>
      <c r="P45" s="52">
        <f t="shared" ca="1" si="2"/>
        <v>4800</v>
      </c>
      <c r="R45" s="64">
        <v>0</v>
      </c>
    </row>
    <row r="46" spans="1:18" x14ac:dyDescent="0.3">
      <c r="A46" s="213"/>
      <c r="B46" s="214"/>
      <c r="C46" s="215"/>
      <c r="D46" s="78"/>
      <c r="E46" s="79"/>
      <c r="F46" s="78"/>
      <c r="G46" s="80"/>
      <c r="H46" s="78"/>
      <c r="I46" s="34" t="str">
        <f t="shared" ca="1" si="1"/>
        <v/>
      </c>
      <c r="J46" s="34" t="str">
        <f ca="1">IFERROR(IF((CONCATENATE($D$33,"&amp;",$D$35))='Age Band'!$A$1,VLOOKUP('Census List'!I46,'Age Band'!$A:$B,2,0),IF((CONCATENATE($D$33,"&amp;",$D$35))='Age Band'!$D$1,VLOOKUP('Census List'!I46,'Age Band'!$D:$E,2,0),(IF($D$35='Age Band'!$G$1,VLOOKUP('Census List'!I46,'Age Band'!$G:$H,2,0),0)))),"")</f>
        <v/>
      </c>
      <c r="K46" s="51" t="str">
        <f ca="1">IFERROR((VLOOKUP((CONCATENATE($D$33," ",$D$34," ",$D$35," ",J46," ",D46)),'Premium working'!$F$5:$H$227,3,0)),"")</f>
        <v/>
      </c>
      <c r="L46" s="64"/>
      <c r="M46" s="52" t="str">
        <f t="shared" ca="1" si="0"/>
        <v/>
      </c>
      <c r="N46" s="52" t="str">
        <f>IFERROR(IF(E46&lt;&gt;"",(IF($D$36="Enhanced",(VLOOKUP((CONCATENATE($D$33," ",$D$34," ",$D$35)),'Premium working'!$T$4:$U$19,2,0)),0)),""),"")</f>
        <v/>
      </c>
      <c r="O46" s="52">
        <f>IFERROR(IF($D$35="Dubai",IF((COUNTIFS(D46,"Female",F46,"Married",I46,"&gt;=18",I46,"&lt;=45"))=1,VLOOKUP((CONCATENATE($D$33," ",$D$34," ",$D$35," Maternity")),'Premium working'!$F:$H,3,0),0),IF($D$35="Abu Dhabi",IF((COUNTIFS(D46,"Female",F46,"Married",I46,"&gt;=18",I46,"&lt;=50"))=1,VLOOKUP((CONCATENATE($D$33," ",$D$34," ",$D$35," Maternity")),'Premium working'!$F:$H,3,0),),"Not Applicable")),"")</f>
        <v>0</v>
      </c>
      <c r="P46" s="52" t="str">
        <f t="shared" ca="1" si="2"/>
        <v/>
      </c>
      <c r="R46" s="64">
        <v>0</v>
      </c>
    </row>
    <row r="47" spans="1:18" x14ac:dyDescent="0.3">
      <c r="A47" s="213"/>
      <c r="B47" s="214"/>
      <c r="C47" s="215"/>
      <c r="D47" s="78"/>
      <c r="E47" s="79"/>
      <c r="F47" s="78"/>
      <c r="G47" s="80"/>
      <c r="H47" s="78"/>
      <c r="I47" s="34" t="str">
        <f t="shared" ca="1" si="1"/>
        <v/>
      </c>
      <c r="J47" s="34" t="str">
        <f ca="1">IFERROR(IF((CONCATENATE($D$33,"&amp;",$D$35))='Age Band'!$A$1,VLOOKUP('Census List'!I47,'Age Band'!$A:$B,2,0),IF((CONCATENATE($D$33,"&amp;",$D$35))='Age Band'!$D$1,VLOOKUP('Census List'!I47,'Age Band'!$D:$E,2,0),(IF($D$35='Age Band'!$G$1,VLOOKUP('Census List'!I47,'Age Band'!$G:$H,2,0),0)))),"")</f>
        <v/>
      </c>
      <c r="K47" s="51" t="str">
        <f ca="1">IFERROR((VLOOKUP((CONCATENATE($D$33," ",$D$34," ",$D$35," ",J47," ",D47)),'Premium working'!$F$5:$H$227,3,0)),"")</f>
        <v/>
      </c>
      <c r="L47" s="64"/>
      <c r="M47" s="52" t="str">
        <f t="shared" ca="1" si="0"/>
        <v/>
      </c>
      <c r="N47" s="52" t="str">
        <f>IFERROR(IF(E47&lt;&gt;"",(IF($D$36="Enhanced",(VLOOKUP((CONCATENATE($D$33," ",$D$34," ",$D$35)),'Premium working'!$T$4:$U$19,2,0)),0)),""),"")</f>
        <v/>
      </c>
      <c r="O47" s="52">
        <f>IFERROR(IF($D$35="Dubai",IF((COUNTIFS(D47,"Female",F47,"Married",I47,"&gt;=18",I47,"&lt;=45"))=1,VLOOKUP((CONCATENATE($D$33," ",$D$34," ",$D$35," Maternity")),'Premium working'!$F:$H,3,0),0),IF($D$35="Abu Dhabi",IF((COUNTIFS(D47,"Female",F47,"Married",I47,"&gt;=18",I47,"&lt;=50"))=1,VLOOKUP((CONCATENATE($D$33," ",$D$34," ",$D$35," Maternity")),'Premium working'!$F:$H,3,0),),"Not Applicable")),"")</f>
        <v>0</v>
      </c>
      <c r="P47" s="52" t="str">
        <f t="shared" ca="1" si="2"/>
        <v/>
      </c>
      <c r="R47" s="64">
        <v>0</v>
      </c>
    </row>
    <row r="48" spans="1:18" x14ac:dyDescent="0.3">
      <c r="A48" s="213"/>
      <c r="B48" s="214"/>
      <c r="C48" s="215"/>
      <c r="D48" s="78"/>
      <c r="E48" s="79"/>
      <c r="F48" s="78"/>
      <c r="G48" s="80"/>
      <c r="H48" s="78"/>
      <c r="I48" s="34" t="str">
        <f t="shared" ca="1" si="1"/>
        <v/>
      </c>
      <c r="J48" s="34" t="str">
        <f ca="1">IFERROR(IF((CONCATENATE($D$33,"&amp;",$D$35))='Age Band'!$A$1,VLOOKUP('Census List'!I48,'Age Band'!$A:$B,2,0),IF((CONCATENATE($D$33,"&amp;",$D$35))='Age Band'!$D$1,VLOOKUP('Census List'!I48,'Age Band'!$D:$E,2,0),(IF($D$35='Age Band'!$G$1,VLOOKUP('Census List'!I48,'Age Band'!$G:$H,2,0),0)))),"")</f>
        <v/>
      </c>
      <c r="K48" s="51" t="str">
        <f ca="1">IFERROR((VLOOKUP((CONCATENATE($D$33," ",$D$34," ",$D$35," ",J48," ",D48)),'Premium working'!$F$5:$H$227,3,0)),"")</f>
        <v/>
      </c>
      <c r="L48" s="64"/>
      <c r="M48" s="52" t="str">
        <f t="shared" ca="1" si="0"/>
        <v/>
      </c>
      <c r="N48" s="52" t="str">
        <f>IFERROR(IF(E48&lt;&gt;"",(IF($D$36="Enhanced",(VLOOKUP((CONCATENATE($D$33," ",$D$34," ",$D$35)),'Premium working'!$T$4:$U$19,2,0)),0)),""),"")</f>
        <v/>
      </c>
      <c r="O48" s="52">
        <f>IFERROR(IF($D$35="Dubai",IF((COUNTIFS(D48,"Female",F48,"Married",I48,"&gt;=18",I48,"&lt;=45"))=1,VLOOKUP((CONCATENATE($D$33," ",$D$34," ",$D$35," Maternity")),'Premium working'!$F:$H,3,0),0),IF($D$35="Abu Dhabi",IF((COUNTIFS(D48,"Female",F48,"Married",I48,"&gt;=18",I48,"&lt;=50"))=1,VLOOKUP((CONCATENATE($D$33," ",$D$34," ",$D$35," Maternity")),'Premium working'!$F:$H,3,0),),"Not Applicable")),"")</f>
        <v>0</v>
      </c>
      <c r="P48" s="52" t="str">
        <f t="shared" ca="1" si="2"/>
        <v/>
      </c>
      <c r="R48" s="64">
        <v>0</v>
      </c>
    </row>
    <row r="49" spans="1:18" x14ac:dyDescent="0.3">
      <c r="A49" s="213"/>
      <c r="B49" s="214"/>
      <c r="C49" s="215"/>
      <c r="D49" s="78"/>
      <c r="E49" s="79"/>
      <c r="F49" s="78"/>
      <c r="G49" s="80"/>
      <c r="H49" s="78"/>
      <c r="I49" s="34" t="str">
        <f t="shared" ca="1" si="1"/>
        <v/>
      </c>
      <c r="J49" s="34" t="str">
        <f ca="1">IFERROR(IF((CONCATENATE($D$33,"&amp;",$D$35))='Age Band'!$A$1,VLOOKUP('Census List'!I49,'Age Band'!$A:$B,2,0),IF((CONCATENATE($D$33,"&amp;",$D$35))='Age Band'!$D$1,VLOOKUP('Census List'!I49,'Age Band'!$D:$E,2,0),(IF($D$35='Age Band'!$G$1,VLOOKUP('Census List'!I49,'Age Band'!$G:$H,2,0),0)))),"")</f>
        <v/>
      </c>
      <c r="K49" s="51" t="str">
        <f ca="1">IFERROR((VLOOKUP((CONCATENATE($D$33," ",$D$34," ",$D$35," ",J49," ",D49)),'Premium working'!$F$5:$H$227,3,0)),"")</f>
        <v/>
      </c>
      <c r="L49" s="64"/>
      <c r="M49" s="52" t="str">
        <f t="shared" ca="1" si="0"/>
        <v/>
      </c>
      <c r="N49" s="52" t="str">
        <f>IFERROR(IF(E49&lt;&gt;"",(IF($D$36="Enhanced",(VLOOKUP((CONCATENATE($D$33," ",$D$34," ",$D$35)),'Premium working'!$T$4:$U$19,2,0)),0)),""),"")</f>
        <v/>
      </c>
      <c r="O49" s="52">
        <f>IFERROR(IF($D$35="Dubai",IF((COUNTIFS(D49,"Female",F49,"Married",I49,"&gt;=18",I49,"&lt;=45"))=1,VLOOKUP((CONCATENATE($D$33," ",$D$34," ",$D$35," Maternity")),'Premium working'!$F:$H,3,0),0),IF($D$35="Abu Dhabi",IF((COUNTIFS(D49,"Female",F49,"Married",I49,"&gt;=18",I49,"&lt;=50"))=1,VLOOKUP((CONCATENATE($D$33," ",$D$34," ",$D$35," Maternity")),'Premium working'!$F:$H,3,0),),"Not Applicable")),"")</f>
        <v>0</v>
      </c>
      <c r="P49" s="52" t="str">
        <f t="shared" ca="1" si="2"/>
        <v/>
      </c>
      <c r="R49" s="64">
        <v>0</v>
      </c>
    </row>
    <row r="50" spans="1:18" x14ac:dyDescent="0.3">
      <c r="A50" s="211"/>
      <c r="B50" s="211"/>
      <c r="C50" s="211"/>
      <c r="D50" s="78"/>
      <c r="E50" s="79"/>
      <c r="F50" s="78"/>
      <c r="G50" s="80"/>
      <c r="H50" s="78"/>
      <c r="I50" s="34" t="str">
        <f t="shared" ca="1" si="1"/>
        <v/>
      </c>
      <c r="J50" s="34" t="str">
        <f ca="1">IFERROR(IF((CONCATENATE($D$33,"&amp;",$D$35))='Age Band'!$A$1,VLOOKUP('Census List'!I50,'Age Band'!$A:$B,2,0),IF((CONCATENATE($D$33,"&amp;",$D$35))='Age Band'!$D$1,VLOOKUP('Census List'!I50,'Age Band'!$D:$E,2,0),(IF($D$35='Age Band'!$G$1,VLOOKUP('Census List'!I50,'Age Band'!$G:$H,2,0),0)))),"")</f>
        <v/>
      </c>
      <c r="K50" s="51" t="str">
        <f ca="1">IFERROR((VLOOKUP((CONCATENATE($D$33," ",$D$34," ",$D$35," ",J50," ",D50)),'Premium working'!$F$5:$H$227,3,0)),"")</f>
        <v/>
      </c>
      <c r="L50" s="64">
        <v>0</v>
      </c>
      <c r="M50" s="52" t="str">
        <f t="shared" ca="1" si="0"/>
        <v/>
      </c>
      <c r="N50" s="52" t="str">
        <f>IFERROR(IF(E50&lt;&gt;"",(IF($D$36="Enhanced",(VLOOKUP((CONCATENATE($D$33," ",$D$34," ",$D$35)),'Premium working'!$T$4:$U$19,2,0)),0)),""),"")</f>
        <v/>
      </c>
      <c r="O50" s="52">
        <f>IFERROR(IF($D$35="Dubai",IF((COUNTIFS(D50,"Female",F50,"Married",I50,"&gt;=18",I50,"&lt;=45"))=1,VLOOKUP((CONCATENATE($D$33," ",$D$34," ",$D$35," Maternity")),'Premium working'!$F:$H,3,0),0),IF($D$35="Abu Dhabi",IF((COUNTIFS(D50,"Female",F50,"Married",I50,"&gt;=18",I50,"&lt;=50"))=1,VLOOKUP((CONCATENATE($D$33," ",$D$34," ",$D$35," Maternity")),'Premium working'!$F:$H,3,0),),"Not Applicable")),"")</f>
        <v>0</v>
      </c>
      <c r="P50" s="52" t="str">
        <f t="shared" ca="1" si="2"/>
        <v/>
      </c>
      <c r="R50" s="64">
        <v>0</v>
      </c>
    </row>
    <row r="51" spans="1:18" x14ac:dyDescent="0.3">
      <c r="A51" s="211"/>
      <c r="B51" s="211"/>
      <c r="C51" s="211"/>
      <c r="D51" s="78"/>
      <c r="E51" s="79"/>
      <c r="F51" s="78"/>
      <c r="G51" s="80"/>
      <c r="H51" s="78"/>
      <c r="I51" s="34" t="str">
        <f t="shared" ca="1" si="1"/>
        <v/>
      </c>
      <c r="J51" s="34" t="str">
        <f ca="1">IFERROR(IF((CONCATENATE($D$33,"&amp;",$D$35))='Age Band'!$A$1,VLOOKUP('Census List'!I51,'Age Band'!$A:$B,2,0),IF((CONCATENATE($D$33,"&amp;",$D$35))='Age Band'!$D$1,VLOOKUP('Census List'!I51,'Age Band'!$D:$E,2,0),(IF($D$35='Age Band'!$G$1,VLOOKUP('Census List'!I51,'Age Band'!$G:$H,2,0),0)))),"")</f>
        <v/>
      </c>
      <c r="K51" s="51" t="str">
        <f ca="1">IFERROR((VLOOKUP((CONCATENATE($D$33," ",$D$34," ",$D$35," ",J51," ",D51)),'Premium working'!$F$5:$H$227,3,0)),"")</f>
        <v/>
      </c>
      <c r="L51" s="64">
        <v>0</v>
      </c>
      <c r="M51" s="52" t="str">
        <f t="shared" ca="1" si="0"/>
        <v/>
      </c>
      <c r="N51" s="52" t="str">
        <f>IFERROR(IF(E51&lt;&gt;"",(IF($D$36="Enhanced",(VLOOKUP((CONCATENATE($D$33," ",$D$34," ",$D$35)),'Premium working'!$T$4:$U$19,2,0)),0)),""),"")</f>
        <v/>
      </c>
      <c r="O51" s="52">
        <f>IFERROR(IF($D$35="Dubai",IF((COUNTIFS(D51,"Female",F51,"Married",I51,"&gt;=18",I51,"&lt;=45"))=1,VLOOKUP((CONCATENATE($D$33," ",$D$34," ",$D$35," Maternity")),'Premium working'!$F:$H,3,0),0),IF($D$35="Abu Dhabi",IF((COUNTIFS(D51,"Female",F51,"Married",I51,"&gt;=18",I51,"&lt;=50"))=1,VLOOKUP((CONCATENATE($D$33," ",$D$34," ",$D$35," Maternity")),'Premium working'!$F:$H,3,0),),"Not Applicable")),"")</f>
        <v>0</v>
      </c>
      <c r="P51" s="52" t="str">
        <f t="shared" ca="1" si="2"/>
        <v/>
      </c>
      <c r="R51" s="64">
        <v>0</v>
      </c>
    </row>
    <row r="52" spans="1:18" x14ac:dyDescent="0.3">
      <c r="A52" s="23"/>
      <c r="B52" s="23"/>
      <c r="C52" s="23"/>
      <c r="D52" s="24"/>
      <c r="E52" s="25"/>
      <c r="F52" s="24"/>
      <c r="G52" s="13"/>
      <c r="H52" s="24"/>
      <c r="I52" s="30">
        <f ca="1">COUNT(I42:I51)</f>
        <v>4</v>
      </c>
      <c r="J52" s="26"/>
      <c r="K52" s="27"/>
      <c r="L52" s="28"/>
      <c r="M52" s="53"/>
      <c r="N52" s="53"/>
      <c r="O52" s="53"/>
      <c r="P52" s="54">
        <f ca="1">SUM(P42:P51)</f>
        <v>30307</v>
      </c>
    </row>
    <row r="53" spans="1:18" x14ac:dyDescent="0.3">
      <c r="M53" s="55"/>
      <c r="N53" s="55"/>
      <c r="O53" s="55"/>
      <c r="P53" s="53"/>
    </row>
    <row r="54" spans="1:18" s="57" customFormat="1" x14ac:dyDescent="0.3">
      <c r="A54" s="223" t="s">
        <v>117</v>
      </c>
      <c r="B54" s="223"/>
      <c r="C54" s="223"/>
      <c r="D54" s="55"/>
      <c r="E54" s="55"/>
      <c r="F54" s="55"/>
      <c r="G54" s="55"/>
      <c r="H54" s="55"/>
      <c r="I54" s="223" t="s">
        <v>119</v>
      </c>
      <c r="J54" s="223"/>
      <c r="K54" s="224"/>
      <c r="L54" s="224"/>
      <c r="M54" s="224"/>
      <c r="N54" s="133"/>
      <c r="O54" s="133"/>
    </row>
    <row r="55" spans="1:18" s="55" customFormat="1" x14ac:dyDescent="0.3">
      <c r="A55" s="245" t="s">
        <v>19</v>
      </c>
      <c r="B55" s="245"/>
      <c r="C55" s="245"/>
      <c r="D55" s="58" t="s">
        <v>29</v>
      </c>
      <c r="E55" s="58" t="s">
        <v>30</v>
      </c>
      <c r="F55" s="58" t="s">
        <v>116</v>
      </c>
      <c r="I55" s="232" t="s">
        <v>77</v>
      </c>
      <c r="J55" s="237"/>
      <c r="K55" s="243" t="str">
        <f>'TOB '!D9</f>
        <v>AED 250,000</v>
      </c>
      <c r="L55" s="243"/>
      <c r="M55" s="243"/>
      <c r="N55" s="243"/>
      <c r="O55" s="243"/>
      <c r="P55" s="243"/>
    </row>
    <row r="56" spans="1:18" s="55" customFormat="1" ht="12.75" customHeight="1" x14ac:dyDescent="0.3">
      <c r="A56" s="240" t="str">
        <f>IFERROR(A42,"")</f>
        <v>HUSSEIN ALI CHABANI</v>
      </c>
      <c r="B56" s="240"/>
      <c r="C56" s="240"/>
      <c r="D56" s="59" t="str">
        <f t="shared" ref="D56" si="3">G42</f>
        <v>Principal</v>
      </c>
      <c r="E56" s="34">
        <f ca="1">I42</f>
        <v>52</v>
      </c>
      <c r="F56" s="52">
        <f ca="1">P42</f>
        <v>8822</v>
      </c>
      <c r="I56" s="238" t="s">
        <v>0</v>
      </c>
      <c r="J56" s="239"/>
      <c r="K56" s="199" t="str">
        <f>'TOB '!D11</f>
        <v>HN Standard Plus (Additional 10% Co-pay applicable on all OP Services excluding Pharmacy at NMC Royal Hosp. Sharjah)</v>
      </c>
      <c r="L56" s="200"/>
      <c r="M56" s="200"/>
      <c r="N56" s="200"/>
      <c r="O56" s="200"/>
      <c r="P56" s="200"/>
    </row>
    <row r="57" spans="1:18" s="55" customFormat="1" x14ac:dyDescent="0.3">
      <c r="A57" s="240" t="str">
        <f t="shared" ref="A57:A65" si="4">IFERROR(A43,"")</f>
        <v>KINDA AL ASSAD</v>
      </c>
      <c r="B57" s="240"/>
      <c r="C57" s="240"/>
      <c r="D57" s="59" t="str">
        <f t="shared" ref="D57:D65" si="5">G43</f>
        <v>Spouse</v>
      </c>
      <c r="E57" s="34">
        <f t="shared" ref="E57" ca="1" si="6">I43</f>
        <v>47</v>
      </c>
      <c r="F57" s="52">
        <f t="shared" ref="F57:F65" ca="1" si="7">P43</f>
        <v>11196</v>
      </c>
      <c r="I57" s="238"/>
      <c r="J57" s="239"/>
      <c r="K57" s="199"/>
      <c r="L57" s="200"/>
      <c r="M57" s="200"/>
      <c r="N57" s="200"/>
      <c r="O57" s="200"/>
      <c r="P57" s="200"/>
    </row>
    <row r="58" spans="1:18" s="55" customFormat="1" x14ac:dyDescent="0.3">
      <c r="A58" s="240" t="str">
        <f t="shared" si="4"/>
        <v>LAYAL CHABANI</v>
      </c>
      <c r="B58" s="240"/>
      <c r="C58" s="240"/>
      <c r="D58" s="59" t="str">
        <f t="shared" si="5"/>
        <v>Child</v>
      </c>
      <c r="E58" s="34">
        <f t="shared" ref="E58:E65" ca="1" si="8">I44</f>
        <v>15</v>
      </c>
      <c r="F58" s="52">
        <f t="shared" ca="1" si="7"/>
        <v>5489</v>
      </c>
      <c r="I58" s="238" t="s">
        <v>86</v>
      </c>
      <c r="J58" s="239"/>
      <c r="K58" s="242" t="str">
        <f>'TOB '!D20</f>
        <v>Private</v>
      </c>
      <c r="L58" s="242"/>
      <c r="M58" s="242"/>
      <c r="N58" s="242"/>
      <c r="O58" s="242"/>
      <c r="P58" s="242"/>
    </row>
    <row r="59" spans="1:18" s="55" customFormat="1" x14ac:dyDescent="0.3">
      <c r="A59" s="240" t="str">
        <f t="shared" si="4"/>
        <v>ALY CHABANI</v>
      </c>
      <c r="B59" s="240"/>
      <c r="C59" s="240"/>
      <c r="D59" s="59" t="str">
        <f t="shared" si="5"/>
        <v>Child</v>
      </c>
      <c r="E59" s="34">
        <f t="shared" ca="1" si="8"/>
        <v>18</v>
      </c>
      <c r="F59" s="52">
        <f t="shared" ca="1" si="7"/>
        <v>4800</v>
      </c>
      <c r="I59" s="238" t="s">
        <v>70</v>
      </c>
      <c r="J59" s="239"/>
      <c r="K59" s="244" t="str">
        <f>'TOB '!D27</f>
        <v xml:space="preserve">20% up to AED 50/- </v>
      </c>
      <c r="L59" s="244"/>
      <c r="M59" s="244"/>
      <c r="N59" s="244"/>
      <c r="O59" s="244"/>
      <c r="P59" s="244"/>
    </row>
    <row r="60" spans="1:18" s="55" customFormat="1" ht="12.75" customHeight="1" x14ac:dyDescent="0.3">
      <c r="A60" s="240">
        <f t="shared" si="4"/>
        <v>0</v>
      </c>
      <c r="B60" s="240"/>
      <c r="C60" s="240"/>
      <c r="D60" s="59">
        <f t="shared" si="5"/>
        <v>0</v>
      </c>
      <c r="E60" s="34" t="str">
        <f t="shared" ca="1" si="8"/>
        <v/>
      </c>
      <c r="F60" s="52" t="str">
        <f t="shared" ca="1" si="7"/>
        <v/>
      </c>
      <c r="I60" s="238" t="s">
        <v>71</v>
      </c>
      <c r="J60" s="239"/>
      <c r="K60" s="244" t="str">
        <f>'TOB '!D28</f>
        <v>100% Covered</v>
      </c>
      <c r="L60" s="244"/>
      <c r="M60" s="244"/>
      <c r="N60" s="244"/>
      <c r="O60" s="244"/>
      <c r="P60" s="244"/>
    </row>
    <row r="61" spans="1:18" s="55" customFormat="1" ht="12.75" customHeight="1" x14ac:dyDescent="0.3">
      <c r="A61" s="240">
        <f t="shared" si="4"/>
        <v>0</v>
      </c>
      <c r="B61" s="240"/>
      <c r="C61" s="240"/>
      <c r="D61" s="59">
        <f t="shared" si="5"/>
        <v>0</v>
      </c>
      <c r="E61" s="34" t="str">
        <f t="shared" ca="1" si="8"/>
        <v/>
      </c>
      <c r="F61" s="52" t="str">
        <f t="shared" ca="1" si="7"/>
        <v/>
      </c>
      <c r="I61" s="238"/>
      <c r="J61" s="239"/>
      <c r="K61" s="244"/>
      <c r="L61" s="244"/>
      <c r="M61" s="244"/>
      <c r="N61" s="244"/>
      <c r="O61" s="244"/>
      <c r="P61" s="244"/>
    </row>
    <row r="62" spans="1:18" s="55" customFormat="1" ht="12.75" customHeight="1" x14ac:dyDescent="0.3">
      <c r="A62" s="240">
        <f t="shared" si="4"/>
        <v>0</v>
      </c>
      <c r="B62" s="240"/>
      <c r="C62" s="240"/>
      <c r="D62" s="59">
        <f t="shared" si="5"/>
        <v>0</v>
      </c>
      <c r="E62" s="34" t="str">
        <f t="shared" ca="1" si="8"/>
        <v/>
      </c>
      <c r="F62" s="52" t="str">
        <f t="shared" ca="1" si="7"/>
        <v/>
      </c>
      <c r="I62" s="238" t="s">
        <v>95</v>
      </c>
      <c r="J62" s="239"/>
      <c r="K62" s="244" t="str">
        <f>'TOB '!D31</f>
        <v>Covered up to AED 10,000 with Nil Co Insurance
(Branded)</v>
      </c>
      <c r="L62" s="244"/>
      <c r="M62" s="244"/>
      <c r="N62" s="244"/>
      <c r="O62" s="244"/>
      <c r="P62" s="244"/>
    </row>
    <row r="63" spans="1:18" s="55" customFormat="1" x14ac:dyDescent="0.3">
      <c r="A63" s="240">
        <f t="shared" si="4"/>
        <v>0</v>
      </c>
      <c r="B63" s="240"/>
      <c r="C63" s="240"/>
      <c r="D63" s="59">
        <f t="shared" si="5"/>
        <v>0</v>
      </c>
      <c r="E63" s="34" t="str">
        <f t="shared" ca="1" si="8"/>
        <v/>
      </c>
      <c r="F63" s="52" t="str">
        <f t="shared" ca="1" si="7"/>
        <v/>
      </c>
      <c r="I63" s="238"/>
      <c r="J63" s="239"/>
      <c r="K63" s="244"/>
      <c r="L63" s="244"/>
      <c r="M63" s="244"/>
      <c r="N63" s="244"/>
      <c r="O63" s="244"/>
      <c r="P63" s="244"/>
    </row>
    <row r="64" spans="1:18" s="55" customFormat="1" x14ac:dyDescent="0.3">
      <c r="A64" s="240">
        <f t="shared" si="4"/>
        <v>0</v>
      </c>
      <c r="B64" s="240"/>
      <c r="C64" s="240"/>
      <c r="D64" s="59">
        <f t="shared" si="5"/>
        <v>0</v>
      </c>
      <c r="E64" s="34" t="str">
        <f t="shared" ca="1" si="8"/>
        <v/>
      </c>
      <c r="F64" s="52" t="str">
        <f t="shared" ca="1" si="7"/>
        <v/>
      </c>
      <c r="I64" s="238" t="s">
        <v>72</v>
      </c>
      <c r="J64" s="239"/>
      <c r="K64" s="244" t="str">
        <f>'TOB '!D30</f>
        <v>20 sessions per member per annum</v>
      </c>
      <c r="L64" s="244"/>
      <c r="M64" s="244"/>
      <c r="N64" s="244"/>
      <c r="O64" s="244"/>
      <c r="P64" s="244"/>
    </row>
    <row r="65" spans="1:16" s="55" customFormat="1" x14ac:dyDescent="0.3">
      <c r="A65" s="240">
        <f t="shared" si="4"/>
        <v>0</v>
      </c>
      <c r="B65" s="240"/>
      <c r="C65" s="240"/>
      <c r="D65" s="59">
        <f t="shared" si="5"/>
        <v>0</v>
      </c>
      <c r="E65" s="34" t="str">
        <f t="shared" ca="1" si="8"/>
        <v/>
      </c>
      <c r="F65" s="52" t="str">
        <f t="shared" ca="1" si="7"/>
        <v/>
      </c>
      <c r="I65" s="166" t="s">
        <v>118</v>
      </c>
      <c r="J65" s="167"/>
      <c r="K65" s="244" t="str">
        <f>'TOB '!D54</f>
        <v>Covered up to AED 2,000/- with 20% Co Insurance</v>
      </c>
      <c r="L65" s="244"/>
      <c r="M65" s="244"/>
      <c r="N65" s="244"/>
      <c r="O65" s="244"/>
      <c r="P65" s="244"/>
    </row>
    <row r="66" spans="1:16" s="55" customFormat="1" x14ac:dyDescent="0.3">
      <c r="A66" s="234"/>
      <c r="B66" s="235"/>
      <c r="C66" s="236"/>
      <c r="D66" s="59"/>
      <c r="E66" s="34"/>
      <c r="F66" s="52"/>
      <c r="I66" s="168"/>
      <c r="J66" s="169"/>
    </row>
    <row r="67" spans="1:16" s="55" customFormat="1" x14ac:dyDescent="0.3">
      <c r="A67" s="232" t="s">
        <v>116</v>
      </c>
      <c r="B67" s="233"/>
      <c r="C67" s="233"/>
      <c r="D67" s="233"/>
      <c r="E67" s="77">
        <f ca="1">COUNT(E56:E66)</f>
        <v>4</v>
      </c>
      <c r="F67" s="160">
        <f ca="1">SUM(F56:F66)</f>
        <v>30307</v>
      </c>
      <c r="I67" s="134"/>
      <c r="J67" s="134"/>
      <c r="K67" s="135"/>
      <c r="L67" s="135"/>
      <c r="M67" s="135"/>
      <c r="N67" s="135"/>
      <c r="O67" s="135"/>
      <c r="P67" s="135"/>
    </row>
    <row r="68" spans="1:16" s="55" customFormat="1" x14ac:dyDescent="0.3">
      <c r="A68" s="230" t="s">
        <v>120</v>
      </c>
      <c r="B68" s="231"/>
      <c r="C68" s="231"/>
      <c r="D68" s="231"/>
      <c r="E68" s="231"/>
      <c r="F68" s="159">
        <f ca="1">ROUND(F67*5%,2)</f>
        <v>1515.35</v>
      </c>
      <c r="H68" s="250"/>
      <c r="I68" s="250"/>
      <c r="J68" s="250"/>
      <c r="K68" s="250"/>
      <c r="L68" s="250"/>
      <c r="M68" s="250"/>
      <c r="N68" s="250"/>
      <c r="O68" s="250"/>
      <c r="P68" s="250"/>
    </row>
    <row r="69" spans="1:16" s="55" customFormat="1" x14ac:dyDescent="0.3">
      <c r="A69" s="225" t="s">
        <v>121</v>
      </c>
      <c r="B69" s="226"/>
      <c r="C69" s="226"/>
      <c r="D69" s="226"/>
      <c r="E69" s="226"/>
      <c r="F69" s="227">
        <f>IFERROR((IF($D$37="Dubai",$E$67*38.85,0)),"")</f>
        <v>0</v>
      </c>
      <c r="H69" s="250"/>
      <c r="I69" s="250"/>
      <c r="J69" s="250"/>
      <c r="K69" s="250"/>
      <c r="L69" s="250"/>
      <c r="M69" s="250"/>
      <c r="N69" s="250"/>
      <c r="O69" s="250"/>
      <c r="P69" s="250"/>
    </row>
    <row r="70" spans="1:16" s="55" customFormat="1" x14ac:dyDescent="0.3">
      <c r="A70" s="225"/>
      <c r="B70" s="226"/>
      <c r="C70" s="226"/>
      <c r="D70" s="226"/>
      <c r="E70" s="226"/>
      <c r="F70" s="227"/>
      <c r="K70" s="73"/>
      <c r="L70" s="73"/>
      <c r="M70" s="73"/>
      <c r="N70" s="73"/>
      <c r="O70" s="73"/>
      <c r="P70" s="73"/>
    </row>
    <row r="71" spans="1:16" s="150" customFormat="1" ht="12.75" customHeight="1" x14ac:dyDescent="0.3">
      <c r="A71" s="246" t="s">
        <v>547</v>
      </c>
      <c r="B71" s="247"/>
      <c r="C71" s="247"/>
      <c r="D71" s="247"/>
      <c r="E71" s="162"/>
      <c r="F71" s="163">
        <f ca="1">IFERROR(IF(OR(D37="NE", D37="AUH"), $E$67*25.2, "-"), "-")</f>
        <v>100.8</v>
      </c>
      <c r="K71" s="149"/>
      <c r="L71" s="149"/>
      <c r="M71" s="149"/>
      <c r="N71" s="149"/>
      <c r="O71" s="149"/>
      <c r="P71" s="149"/>
    </row>
    <row r="72" spans="1:16" s="55" customFormat="1" ht="14.4" thickBot="1" x14ac:dyDescent="0.35">
      <c r="A72" s="228" t="s">
        <v>116</v>
      </c>
      <c r="B72" s="229"/>
      <c r="C72" s="229"/>
      <c r="D72" s="229"/>
      <c r="E72" s="229"/>
      <c r="F72" s="161">
        <f ca="1">IFERROR(ROUND(SUM(F69,F68,F67,F71),2),"")</f>
        <v>31923.15</v>
      </c>
      <c r="H72" s="250"/>
      <c r="I72" s="250"/>
      <c r="J72" s="250"/>
      <c r="K72" s="250"/>
      <c r="L72" s="250"/>
      <c r="M72" s="250"/>
      <c r="N72" s="250"/>
      <c r="O72" s="250"/>
      <c r="P72" s="250"/>
    </row>
    <row r="73" spans="1:16" s="55" customFormat="1" ht="14.4" thickTop="1" x14ac:dyDescent="0.3">
      <c r="A73" s="60"/>
      <c r="B73" s="60"/>
      <c r="C73" s="60"/>
      <c r="D73" s="60"/>
      <c r="E73" s="60"/>
      <c r="F73" s="61"/>
      <c r="H73" s="250"/>
      <c r="I73" s="250"/>
      <c r="J73" s="250"/>
      <c r="K73" s="250"/>
      <c r="L73" s="250"/>
      <c r="M73" s="250"/>
      <c r="N73" s="250"/>
      <c r="O73" s="250"/>
      <c r="P73" s="250"/>
    </row>
    <row r="74" spans="1:16" s="55" customFormat="1" x14ac:dyDescent="0.3">
      <c r="A74" s="76" t="s">
        <v>377</v>
      </c>
      <c r="B74" s="60"/>
      <c r="C74" s="60"/>
      <c r="D74" s="60"/>
      <c r="E74" s="60"/>
      <c r="F74" s="61"/>
      <c r="H74" s="74"/>
      <c r="I74" s="74"/>
      <c r="J74" s="74"/>
      <c r="K74" s="74"/>
      <c r="L74" s="74"/>
      <c r="M74" s="74"/>
      <c r="N74" s="74"/>
      <c r="O74" s="74"/>
      <c r="P74" s="74"/>
    </row>
    <row r="75" spans="1:16" s="55" customFormat="1" ht="4.5" customHeight="1" x14ac:dyDescent="0.3">
      <c r="A75" s="60"/>
      <c r="B75" s="60"/>
      <c r="C75" s="60"/>
      <c r="D75" s="60"/>
      <c r="E75" s="60"/>
      <c r="F75" s="61"/>
      <c r="H75" s="74"/>
      <c r="I75" s="74"/>
      <c r="J75" s="74"/>
      <c r="K75" s="74"/>
      <c r="L75" s="74"/>
      <c r="M75" s="74"/>
      <c r="N75" s="74"/>
      <c r="O75" s="74"/>
      <c r="P75" s="74"/>
    </row>
    <row r="76" spans="1:16" s="55" customFormat="1" x14ac:dyDescent="0.3">
      <c r="A76" s="57" t="s">
        <v>185</v>
      </c>
      <c r="B76" s="55" t="s">
        <v>371</v>
      </c>
      <c r="F76" s="75"/>
      <c r="H76" s="72"/>
      <c r="I76" s="72"/>
      <c r="J76" s="72"/>
      <c r="K76" s="72"/>
      <c r="L76" s="72"/>
      <c r="M76" s="72"/>
      <c r="N76" s="72"/>
      <c r="O76" s="72"/>
      <c r="P76" s="72"/>
    </row>
    <row r="77" spans="1:16" s="55" customFormat="1" x14ac:dyDescent="0.3">
      <c r="A77" s="57" t="s">
        <v>186</v>
      </c>
      <c r="B77" s="55" t="s">
        <v>372</v>
      </c>
      <c r="F77" s="75"/>
      <c r="H77" s="72"/>
      <c r="I77" s="72"/>
      <c r="J77" s="72"/>
      <c r="K77" s="72"/>
      <c r="L77" s="72"/>
      <c r="M77" s="72"/>
      <c r="N77" s="72"/>
      <c r="O77" s="72"/>
      <c r="P77" s="72"/>
    </row>
    <row r="78" spans="1:16" s="55" customFormat="1" x14ac:dyDescent="0.3">
      <c r="A78" s="57" t="s">
        <v>188</v>
      </c>
      <c r="B78" s="55" t="s">
        <v>373</v>
      </c>
      <c r="F78" s="75"/>
      <c r="H78" s="72"/>
      <c r="I78" s="72"/>
      <c r="J78" s="72"/>
      <c r="K78" s="72"/>
      <c r="L78" s="72"/>
      <c r="M78" s="72"/>
      <c r="N78" s="72"/>
      <c r="O78" s="72"/>
      <c r="P78" s="72"/>
    </row>
    <row r="79" spans="1:16" s="55" customFormat="1" x14ac:dyDescent="0.3">
      <c r="A79" s="57" t="s">
        <v>190</v>
      </c>
      <c r="B79" s="55" t="s">
        <v>374</v>
      </c>
      <c r="F79" s="75"/>
    </row>
    <row r="80" spans="1:16" s="55" customFormat="1" x14ac:dyDescent="0.3">
      <c r="A80" s="242" t="s">
        <v>194</v>
      </c>
      <c r="B80" s="241" t="s">
        <v>375</v>
      </c>
      <c r="C80" s="241"/>
      <c r="D80" s="241"/>
      <c r="E80" s="241"/>
      <c r="F80" s="241"/>
      <c r="G80" s="241"/>
      <c r="H80" s="241"/>
      <c r="I80" s="241"/>
      <c r="J80" s="241"/>
      <c r="K80" s="241"/>
      <c r="L80" s="241"/>
      <c r="M80" s="241"/>
      <c r="N80" s="241"/>
      <c r="O80" s="241"/>
      <c r="P80" s="241"/>
    </row>
    <row r="81" spans="1:16" s="55" customFormat="1" x14ac:dyDescent="0.3">
      <c r="A81" s="242"/>
      <c r="B81" s="241"/>
      <c r="C81" s="241"/>
      <c r="D81" s="241"/>
      <c r="E81" s="241"/>
      <c r="F81" s="241"/>
      <c r="G81" s="241"/>
      <c r="H81" s="241"/>
      <c r="I81" s="241"/>
      <c r="J81" s="241"/>
      <c r="K81" s="241"/>
      <c r="L81" s="241"/>
      <c r="M81" s="241"/>
      <c r="N81" s="241"/>
      <c r="O81" s="241"/>
      <c r="P81" s="241"/>
    </row>
    <row r="82" spans="1:16" s="55" customFormat="1" x14ac:dyDescent="0.3">
      <c r="A82" s="57" t="s">
        <v>196</v>
      </c>
      <c r="B82" s="55" t="s">
        <v>376</v>
      </c>
      <c r="C82" s="72"/>
      <c r="D82" s="72"/>
      <c r="E82" s="72"/>
      <c r="F82" s="72"/>
      <c r="G82" s="72"/>
      <c r="H82" s="72"/>
      <c r="I82" s="72"/>
      <c r="J82" s="72"/>
      <c r="K82" s="72"/>
      <c r="L82" s="72"/>
      <c r="M82" s="72"/>
      <c r="N82" s="72"/>
      <c r="O82" s="72"/>
      <c r="P82" s="72"/>
    </row>
    <row r="83" spans="1:16" x14ac:dyDescent="0.3">
      <c r="K83" s="29"/>
      <c r="L83" s="29"/>
      <c r="M83" s="29"/>
      <c r="N83" s="29"/>
      <c r="O83" s="29"/>
      <c r="P83" s="29"/>
    </row>
    <row r="84" spans="1:16" x14ac:dyDescent="0.3">
      <c r="A84" s="221"/>
      <c r="B84" s="222"/>
      <c r="C84" s="222"/>
      <c r="D84" s="222"/>
      <c r="E84" s="222"/>
      <c r="F84" s="222"/>
      <c r="G84" s="222"/>
      <c r="H84" s="222"/>
      <c r="I84" s="222"/>
      <c r="J84" s="222"/>
      <c r="K84" s="222"/>
      <c r="L84" s="222"/>
      <c r="M84" s="222"/>
      <c r="N84" s="222"/>
      <c r="O84" s="222"/>
      <c r="P84" s="222"/>
    </row>
  </sheetData>
  <sheetProtection algorithmName="SHA-512" hashValue="smqu6/InI7v4CS5+PhdK2iEDlNHHDL6NsbvzhboqNXJIi1SZ85umVSzeQHsW8uPkw/KKEY8eyHBLc5iQvKsB+w==" saltValue="lrRSBO6IFpj+c8WBbke6cw==" spinCount="100000" sheet="1" objects="1" scenarios="1"/>
  <mergeCells count="77">
    <mergeCell ref="F28:H28"/>
    <mergeCell ref="H68:P69"/>
    <mergeCell ref="H72:P73"/>
    <mergeCell ref="J36:K36"/>
    <mergeCell ref="I59:J59"/>
    <mergeCell ref="I60:J61"/>
    <mergeCell ref="I62:J63"/>
    <mergeCell ref="K62:P63"/>
    <mergeCell ref="K64:P64"/>
    <mergeCell ref="I28:L29"/>
    <mergeCell ref="J35:K35"/>
    <mergeCell ref="J32:K32"/>
    <mergeCell ref="J33:K33"/>
    <mergeCell ref="J34:K34"/>
    <mergeCell ref="O30:P30"/>
    <mergeCell ref="I56:J57"/>
    <mergeCell ref="B80:P81"/>
    <mergeCell ref="A80:A81"/>
    <mergeCell ref="K55:P55"/>
    <mergeCell ref="K58:P58"/>
    <mergeCell ref="K59:P59"/>
    <mergeCell ref="A64:C64"/>
    <mergeCell ref="A65:C65"/>
    <mergeCell ref="A55:C55"/>
    <mergeCell ref="A56:C56"/>
    <mergeCell ref="A58:C58"/>
    <mergeCell ref="A59:C59"/>
    <mergeCell ref="A60:C60"/>
    <mergeCell ref="K65:P65"/>
    <mergeCell ref="K60:P61"/>
    <mergeCell ref="A71:D71"/>
    <mergeCell ref="A57:C57"/>
    <mergeCell ref="A84:P84"/>
    <mergeCell ref="A54:C54"/>
    <mergeCell ref="I54:K54"/>
    <mergeCell ref="L54:M54"/>
    <mergeCell ref="A69:E70"/>
    <mergeCell ref="F69:F70"/>
    <mergeCell ref="A72:E72"/>
    <mergeCell ref="A68:E68"/>
    <mergeCell ref="A67:D67"/>
    <mergeCell ref="A66:C66"/>
    <mergeCell ref="I55:J55"/>
    <mergeCell ref="I58:J58"/>
    <mergeCell ref="A61:C61"/>
    <mergeCell ref="A62:C62"/>
    <mergeCell ref="A63:C63"/>
    <mergeCell ref="I64:J64"/>
    <mergeCell ref="D32:F32"/>
    <mergeCell ref="D33:F33"/>
    <mergeCell ref="A36:C36"/>
    <mergeCell ref="A34:C34"/>
    <mergeCell ref="A35:C35"/>
    <mergeCell ref="D34:F34"/>
    <mergeCell ref="D36:F36"/>
    <mergeCell ref="D35:F35"/>
    <mergeCell ref="A44:C44"/>
    <mergeCell ref="A45:C45"/>
    <mergeCell ref="A42:C42"/>
    <mergeCell ref="A32:C32"/>
    <mergeCell ref="A33:C33"/>
    <mergeCell ref="K56:P57"/>
    <mergeCell ref="D38:F39"/>
    <mergeCell ref="J37:K37"/>
    <mergeCell ref="J38:K39"/>
    <mergeCell ref="A38:C39"/>
    <mergeCell ref="A37:C37"/>
    <mergeCell ref="D37:F37"/>
    <mergeCell ref="A51:C51"/>
    <mergeCell ref="A40:C40"/>
    <mergeCell ref="A46:C46"/>
    <mergeCell ref="A47:C47"/>
    <mergeCell ref="A48:C48"/>
    <mergeCell ref="A49:C49"/>
    <mergeCell ref="A50:C50"/>
    <mergeCell ref="A41:C41"/>
    <mergeCell ref="A43:C43"/>
  </mergeCells>
  <dataValidations count="11">
    <dataValidation type="list" allowBlank="1" showInputMessage="1" showErrorMessage="1" sqref="J33:K33" xr:uid="{00000000-0002-0000-0000-000000000000}">
      <formula1>$I$5:$I$12</formula1>
    </dataValidation>
    <dataValidation type="list" allowBlank="1" showInputMessage="1" showErrorMessage="1" sqref="J32:K32" xr:uid="{00000000-0002-0000-0000-000001000000}">
      <formula1>$G$6:$G$7</formula1>
    </dataValidation>
    <dataValidation type="list" allowBlank="1" showInputMessage="1" showErrorMessage="1" sqref="G42:G51" xr:uid="{00000000-0002-0000-0000-000002000000}">
      <formula1>$D$13:$D$15</formula1>
    </dataValidation>
    <dataValidation type="list" allowBlank="1" showInputMessage="1" showErrorMessage="1" sqref="F42:F51" xr:uid="{00000000-0002-0000-0000-000003000000}">
      <formula1>$D$7:$D$8</formula1>
    </dataValidation>
    <dataValidation type="list" allowBlank="1" showInputMessage="1" showErrorMessage="1" sqref="D42:D51" xr:uid="{00000000-0002-0000-0000-000004000000}">
      <formula1>$D$10:$D$11</formula1>
    </dataValidation>
    <dataValidation type="list" allowBlank="1" showInputMessage="1" showErrorMessage="1" sqref="D33:F33" xr:uid="{00000000-0002-0000-0000-000005000000}">
      <formula1>$F$15</formula1>
    </dataValidation>
    <dataValidation type="list" allowBlank="1" showInputMessage="1" showErrorMessage="1" sqref="D35" xr:uid="{00000000-0002-0000-0000-000006000000}">
      <formula1>$L$9:$L$10</formula1>
    </dataValidation>
    <dataValidation type="list" showInputMessage="1" showErrorMessage="1" error="Please select TPA" prompt="Please reselect plan after changing TPA and Location" sqref="D34" xr:uid="{00000000-0002-0000-0000-000007000000}">
      <formula1>IF($D$35="Abu Dhabi",$B$12:$B$17,$B$2:$B$11)</formula1>
    </dataValidation>
    <dataValidation type="list" allowBlank="1" showInputMessage="1" showErrorMessage="1" sqref="D36" xr:uid="{00000000-0002-0000-0000-000008000000}">
      <formula1>$D$17:$D$18</formula1>
    </dataValidation>
    <dataValidation type="list" allowBlank="1" showInputMessage="1" showErrorMessage="1" sqref="M28" xr:uid="{E68C66AB-1D37-4BF1-8332-E734DE71EC12}">
      <formula1>$L$22:$L$23</formula1>
    </dataValidation>
    <dataValidation type="list" allowBlank="1" showInputMessage="1" showErrorMessage="1" sqref="D37:F37" xr:uid="{BF7ACCDC-4E46-4CE8-B308-F4D974F1F1DA}">
      <formula1>$D$20:$D$22</formula1>
    </dataValidation>
  </dataValidations>
  <printOptions horizontalCentered="1"/>
  <pageMargins left="7.874015748031496E-2" right="7.874015748031496E-2" top="0.19685039370078741" bottom="0.19685039370078741" header="0.31496062992125984" footer="0.31496062992125984"/>
  <pageSetup scale="74" orientation="landscape" r:id="rId1"/>
  <headerFooter>
    <oddFooter>&amp;L_x000D_&amp;1#&amp;"Calibri"&amp;10&amp;K000000 Public</oddFooter>
  </headerFooter>
  <colBreaks count="1" manualBreakCount="1">
    <brk id="16"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6A73F60-0195-4A57-BC24-873DC4E34BD8}">
          <x14:formula1>
            <xm:f>'TOB IN PUT'!$E$38:$E$46</xm:f>
          </x14:formula1>
          <xm:sqref>D38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filterMode="1"/>
  <dimension ref="A1:H2538"/>
  <sheetViews>
    <sheetView workbookViewId="0">
      <selection activeCell="G2" sqref="G1:H1048576"/>
    </sheetView>
  </sheetViews>
  <sheetFormatPr defaultRowHeight="14.4" x14ac:dyDescent="0.3"/>
  <cols>
    <col min="1" max="1" width="5.88671875" style="14" bestFit="1" customWidth="1"/>
    <col min="2" max="2" width="11.33203125" style="14" bestFit="1" customWidth="1"/>
    <col min="4" max="4" width="5.88671875" bestFit="1" customWidth="1"/>
    <col min="5" max="5" width="11.33203125" bestFit="1" customWidth="1"/>
    <col min="7" max="7" width="5.88671875" bestFit="1" customWidth="1"/>
    <col min="8" max="8" width="11.33203125" bestFit="1" customWidth="1"/>
  </cols>
  <sheetData>
    <row r="1" spans="1:8" x14ac:dyDescent="0.3">
      <c r="A1" s="253" t="s">
        <v>468</v>
      </c>
      <c r="B1" s="253"/>
      <c r="C1" s="37"/>
      <c r="D1" s="253" t="s">
        <v>469</v>
      </c>
      <c r="E1" s="253"/>
      <c r="F1" s="37"/>
      <c r="G1" s="253" t="s">
        <v>34</v>
      </c>
      <c r="H1" s="253"/>
    </row>
    <row r="2" spans="1:8" x14ac:dyDescent="0.3">
      <c r="A2" s="14" t="s">
        <v>21</v>
      </c>
      <c r="B2" s="14" t="s">
        <v>26</v>
      </c>
      <c r="D2" s="14" t="s">
        <v>21</v>
      </c>
      <c r="E2" s="14" t="s">
        <v>26</v>
      </c>
      <c r="G2" s="14" t="s">
        <v>21</v>
      </c>
      <c r="H2" s="14" t="s">
        <v>26</v>
      </c>
    </row>
    <row r="3" spans="1:8" hidden="1" x14ac:dyDescent="0.3">
      <c r="A3" s="14">
        <v>0</v>
      </c>
      <c r="B3" s="14" t="s">
        <v>45</v>
      </c>
      <c r="D3" s="14">
        <v>0</v>
      </c>
      <c r="E3" s="35" t="s">
        <v>122</v>
      </c>
      <c r="G3" s="14">
        <v>0</v>
      </c>
      <c r="H3" s="35" t="s">
        <v>45</v>
      </c>
    </row>
    <row r="4" spans="1:8" hidden="1" x14ac:dyDescent="0.3">
      <c r="A4" s="14">
        <v>1</v>
      </c>
      <c r="B4" s="14" t="s">
        <v>45</v>
      </c>
      <c r="D4" s="14">
        <v>1</v>
      </c>
      <c r="E4" s="35" t="s">
        <v>122</v>
      </c>
      <c r="G4" s="14">
        <v>1</v>
      </c>
      <c r="H4" s="35" t="s">
        <v>45</v>
      </c>
    </row>
    <row r="5" spans="1:8" hidden="1" x14ac:dyDescent="0.3">
      <c r="A5" s="14">
        <v>2</v>
      </c>
      <c r="B5" s="14" t="s">
        <v>45</v>
      </c>
      <c r="D5" s="14">
        <v>2</v>
      </c>
      <c r="E5" s="35" t="s">
        <v>122</v>
      </c>
      <c r="G5" s="14">
        <v>2</v>
      </c>
      <c r="H5" s="35" t="s">
        <v>45</v>
      </c>
    </row>
    <row r="6" spans="1:8" hidden="1" x14ac:dyDescent="0.3">
      <c r="A6" s="14">
        <v>3</v>
      </c>
      <c r="B6" s="14" t="s">
        <v>45</v>
      </c>
      <c r="D6" s="14">
        <v>3</v>
      </c>
      <c r="E6" s="35" t="s">
        <v>122</v>
      </c>
      <c r="G6" s="14">
        <v>3</v>
      </c>
      <c r="H6" s="35" t="s">
        <v>45</v>
      </c>
    </row>
    <row r="7" spans="1:8" hidden="1" x14ac:dyDescent="0.3">
      <c r="A7" s="14">
        <v>4</v>
      </c>
      <c r="B7" s="14" t="s">
        <v>45</v>
      </c>
      <c r="D7" s="14">
        <v>4</v>
      </c>
      <c r="E7" s="35" t="s">
        <v>122</v>
      </c>
      <c r="G7" s="14">
        <v>4</v>
      </c>
      <c r="H7" s="35" t="s">
        <v>45</v>
      </c>
    </row>
    <row r="8" spans="1:8" hidden="1" x14ac:dyDescent="0.3">
      <c r="A8" s="14">
        <v>5</v>
      </c>
      <c r="B8" s="14" t="s">
        <v>45</v>
      </c>
      <c r="D8" s="14">
        <v>5</v>
      </c>
      <c r="E8" s="35" t="s">
        <v>122</v>
      </c>
      <c r="G8" s="14">
        <v>5</v>
      </c>
      <c r="H8" s="35" t="s">
        <v>45</v>
      </c>
    </row>
    <row r="9" spans="1:8" hidden="1" x14ac:dyDescent="0.3">
      <c r="A9" s="14">
        <v>6</v>
      </c>
      <c r="B9" s="14" t="s">
        <v>45</v>
      </c>
      <c r="D9" s="14">
        <v>6</v>
      </c>
      <c r="E9" s="35" t="s">
        <v>122</v>
      </c>
      <c r="G9" s="14">
        <v>6</v>
      </c>
      <c r="H9" s="35" t="s">
        <v>45</v>
      </c>
    </row>
    <row r="10" spans="1:8" hidden="1" x14ac:dyDescent="0.3">
      <c r="A10" s="14">
        <v>7</v>
      </c>
      <c r="B10" s="14" t="s">
        <v>45</v>
      </c>
      <c r="D10" s="14">
        <v>7</v>
      </c>
      <c r="E10" s="35" t="s">
        <v>122</v>
      </c>
      <c r="G10" s="14">
        <v>7</v>
      </c>
      <c r="H10" s="35" t="s">
        <v>45</v>
      </c>
    </row>
    <row r="11" spans="1:8" hidden="1" x14ac:dyDescent="0.3">
      <c r="A11" s="14">
        <v>8</v>
      </c>
      <c r="B11" s="14" t="s">
        <v>45</v>
      </c>
      <c r="D11" s="14">
        <v>8</v>
      </c>
      <c r="E11" s="35" t="s">
        <v>122</v>
      </c>
      <c r="G11" s="14">
        <v>8</v>
      </c>
      <c r="H11" s="35" t="s">
        <v>45</v>
      </c>
    </row>
    <row r="12" spans="1:8" hidden="1" x14ac:dyDescent="0.3">
      <c r="A12" s="14">
        <v>9</v>
      </c>
      <c r="B12" s="14" t="s">
        <v>45</v>
      </c>
      <c r="D12" s="14">
        <v>9</v>
      </c>
      <c r="E12" s="35" t="s">
        <v>122</v>
      </c>
      <c r="G12" s="14">
        <v>9</v>
      </c>
      <c r="H12" s="35" t="s">
        <v>45</v>
      </c>
    </row>
    <row r="13" spans="1:8" hidden="1" x14ac:dyDescent="0.3">
      <c r="A13" s="14">
        <v>10</v>
      </c>
      <c r="B13" s="14" t="s">
        <v>45</v>
      </c>
      <c r="D13" s="14">
        <v>10</v>
      </c>
      <c r="E13" s="35" t="s">
        <v>122</v>
      </c>
      <c r="G13" s="14">
        <v>10</v>
      </c>
      <c r="H13" s="35" t="s">
        <v>45</v>
      </c>
    </row>
    <row r="14" spans="1:8" hidden="1" x14ac:dyDescent="0.3">
      <c r="A14" s="14">
        <v>11</v>
      </c>
      <c r="B14" s="14" t="s">
        <v>45</v>
      </c>
      <c r="D14" s="14">
        <v>11</v>
      </c>
      <c r="E14" s="35" t="s">
        <v>122</v>
      </c>
      <c r="G14" s="14">
        <v>11</v>
      </c>
      <c r="H14" s="35" t="s">
        <v>45</v>
      </c>
    </row>
    <row r="15" spans="1:8" hidden="1" x14ac:dyDescent="0.3">
      <c r="A15" s="14">
        <v>12</v>
      </c>
      <c r="B15" s="14" t="s">
        <v>45</v>
      </c>
      <c r="D15" s="14">
        <v>12</v>
      </c>
      <c r="E15" s="35" t="s">
        <v>122</v>
      </c>
      <c r="G15" s="14">
        <v>12</v>
      </c>
      <c r="H15" s="35" t="s">
        <v>45</v>
      </c>
    </row>
    <row r="16" spans="1:8" hidden="1" x14ac:dyDescent="0.3">
      <c r="A16" s="14">
        <v>13</v>
      </c>
      <c r="B16" s="14" t="s">
        <v>45</v>
      </c>
      <c r="D16" s="14">
        <v>13</v>
      </c>
      <c r="E16" s="35" t="s">
        <v>122</v>
      </c>
      <c r="G16" s="14">
        <v>13</v>
      </c>
      <c r="H16" s="35" t="s">
        <v>45</v>
      </c>
    </row>
    <row r="17" spans="1:8" hidden="1" x14ac:dyDescent="0.3">
      <c r="A17" s="14">
        <v>14</v>
      </c>
      <c r="B17" s="14" t="s">
        <v>45</v>
      </c>
      <c r="D17" s="14">
        <v>14</v>
      </c>
      <c r="E17" s="35" t="s">
        <v>122</v>
      </c>
      <c r="G17" s="14">
        <v>14</v>
      </c>
      <c r="H17" s="35" t="s">
        <v>45</v>
      </c>
    </row>
    <row r="18" spans="1:8" hidden="1" x14ac:dyDescent="0.3">
      <c r="A18" s="14">
        <v>15</v>
      </c>
      <c r="B18" s="14" t="s">
        <v>45</v>
      </c>
      <c r="D18" s="14">
        <v>15</v>
      </c>
      <c r="E18" s="35" t="s">
        <v>122</v>
      </c>
      <c r="G18" s="14">
        <v>15</v>
      </c>
      <c r="H18" s="35" t="s">
        <v>45</v>
      </c>
    </row>
    <row r="19" spans="1:8" hidden="1" x14ac:dyDescent="0.3">
      <c r="A19" s="14">
        <v>16</v>
      </c>
      <c r="B19" s="14" t="s">
        <v>45</v>
      </c>
      <c r="D19" s="14">
        <v>16</v>
      </c>
      <c r="E19" s="35" t="s">
        <v>123</v>
      </c>
      <c r="G19" s="14">
        <v>16</v>
      </c>
      <c r="H19" s="35" t="s">
        <v>45</v>
      </c>
    </row>
    <row r="20" spans="1:8" hidden="1" x14ac:dyDescent="0.3">
      <c r="A20" s="14">
        <v>17</v>
      </c>
      <c r="B20" s="14" t="s">
        <v>45</v>
      </c>
      <c r="D20" s="14">
        <v>17</v>
      </c>
      <c r="E20" s="35" t="s">
        <v>123</v>
      </c>
      <c r="G20" s="14">
        <v>17</v>
      </c>
      <c r="H20" s="35" t="s">
        <v>45</v>
      </c>
    </row>
    <row r="21" spans="1:8" hidden="1" x14ac:dyDescent="0.3">
      <c r="A21" s="14">
        <v>18</v>
      </c>
      <c r="B21" s="14" t="s">
        <v>46</v>
      </c>
      <c r="D21" s="14">
        <v>18</v>
      </c>
      <c r="E21" s="35" t="s">
        <v>123</v>
      </c>
      <c r="G21" s="14">
        <v>18</v>
      </c>
      <c r="H21" s="35" t="s">
        <v>509</v>
      </c>
    </row>
    <row r="22" spans="1:8" hidden="1" x14ac:dyDescent="0.3">
      <c r="A22" s="14">
        <v>19</v>
      </c>
      <c r="B22" s="14" t="s">
        <v>46</v>
      </c>
      <c r="D22" s="14">
        <v>19</v>
      </c>
      <c r="E22" s="35" t="s">
        <v>123</v>
      </c>
      <c r="G22" s="14">
        <v>19</v>
      </c>
      <c r="H22" s="35" t="s">
        <v>509</v>
      </c>
    </row>
    <row r="23" spans="1:8" hidden="1" x14ac:dyDescent="0.3">
      <c r="A23" s="14">
        <v>20</v>
      </c>
      <c r="B23" s="14" t="s">
        <v>46</v>
      </c>
      <c r="D23" s="14">
        <v>20</v>
      </c>
      <c r="E23" s="35" t="s">
        <v>123</v>
      </c>
      <c r="G23" s="14">
        <v>20</v>
      </c>
      <c r="H23" s="35" t="s">
        <v>509</v>
      </c>
    </row>
    <row r="24" spans="1:8" hidden="1" x14ac:dyDescent="0.3">
      <c r="A24" s="14">
        <v>21</v>
      </c>
      <c r="B24" s="14" t="s">
        <v>46</v>
      </c>
      <c r="D24" s="14">
        <v>21</v>
      </c>
      <c r="E24" s="35" t="s">
        <v>16</v>
      </c>
      <c r="G24" s="14">
        <v>21</v>
      </c>
      <c r="H24" s="35" t="s">
        <v>509</v>
      </c>
    </row>
    <row r="25" spans="1:8" hidden="1" x14ac:dyDescent="0.3">
      <c r="A25" s="14">
        <v>22</v>
      </c>
      <c r="B25" s="14" t="s">
        <v>46</v>
      </c>
      <c r="D25" s="14">
        <v>22</v>
      </c>
      <c r="E25" s="35" t="s">
        <v>16</v>
      </c>
      <c r="G25" s="14">
        <v>22</v>
      </c>
      <c r="H25" s="35" t="s">
        <v>509</v>
      </c>
    </row>
    <row r="26" spans="1:8" hidden="1" x14ac:dyDescent="0.3">
      <c r="A26" s="14">
        <v>23</v>
      </c>
      <c r="B26" s="14" t="s">
        <v>46</v>
      </c>
      <c r="D26" s="14">
        <v>23</v>
      </c>
      <c r="E26" s="35" t="s">
        <v>16</v>
      </c>
      <c r="G26" s="14">
        <v>23</v>
      </c>
      <c r="H26" s="35" t="s">
        <v>509</v>
      </c>
    </row>
    <row r="27" spans="1:8" hidden="1" x14ac:dyDescent="0.3">
      <c r="A27" s="14">
        <v>24</v>
      </c>
      <c r="B27" s="14" t="s">
        <v>46</v>
      </c>
      <c r="D27" s="14">
        <v>24</v>
      </c>
      <c r="E27" s="35" t="s">
        <v>16</v>
      </c>
      <c r="G27" s="14">
        <v>24</v>
      </c>
      <c r="H27" s="35" t="s">
        <v>509</v>
      </c>
    </row>
    <row r="28" spans="1:8" hidden="1" x14ac:dyDescent="0.3">
      <c r="A28" s="14">
        <v>25</v>
      </c>
      <c r="B28" s="14" t="s">
        <v>46</v>
      </c>
      <c r="D28" s="14">
        <v>25</v>
      </c>
      <c r="E28" s="35" t="s">
        <v>16</v>
      </c>
      <c r="G28" s="14">
        <v>25</v>
      </c>
      <c r="H28" s="35" t="s">
        <v>509</v>
      </c>
    </row>
    <row r="29" spans="1:8" hidden="1" x14ac:dyDescent="0.3">
      <c r="A29" s="14">
        <v>26</v>
      </c>
      <c r="B29" s="14" t="s">
        <v>46</v>
      </c>
      <c r="D29" s="14">
        <v>26</v>
      </c>
      <c r="E29" s="35" t="s">
        <v>15</v>
      </c>
      <c r="G29" s="14">
        <v>26</v>
      </c>
      <c r="H29" s="35" t="s">
        <v>509</v>
      </c>
    </row>
    <row r="30" spans="1:8" hidden="1" x14ac:dyDescent="0.3">
      <c r="A30" s="14">
        <v>27</v>
      </c>
      <c r="B30" s="14" t="s">
        <v>46</v>
      </c>
      <c r="D30" s="14">
        <v>27</v>
      </c>
      <c r="E30" s="35" t="s">
        <v>15</v>
      </c>
      <c r="G30" s="14">
        <v>27</v>
      </c>
      <c r="H30" s="35" t="s">
        <v>509</v>
      </c>
    </row>
    <row r="31" spans="1:8" hidden="1" x14ac:dyDescent="0.3">
      <c r="A31" s="14">
        <v>28</v>
      </c>
      <c r="B31" s="14" t="s">
        <v>46</v>
      </c>
      <c r="D31" s="14">
        <v>28</v>
      </c>
      <c r="E31" s="35" t="s">
        <v>15</v>
      </c>
      <c r="G31" s="14">
        <v>28</v>
      </c>
      <c r="H31" s="35" t="s">
        <v>509</v>
      </c>
    </row>
    <row r="32" spans="1:8" hidden="1" x14ac:dyDescent="0.3">
      <c r="A32" s="14">
        <v>29</v>
      </c>
      <c r="B32" s="14" t="s">
        <v>46</v>
      </c>
      <c r="D32" s="14">
        <v>29</v>
      </c>
      <c r="E32" s="35" t="s">
        <v>15</v>
      </c>
      <c r="G32" s="14">
        <v>29</v>
      </c>
      <c r="H32" s="35" t="s">
        <v>509</v>
      </c>
    </row>
    <row r="33" spans="1:8" hidden="1" x14ac:dyDescent="0.3">
      <c r="A33" s="14">
        <v>30</v>
      </c>
      <c r="B33" s="14" t="s">
        <v>46</v>
      </c>
      <c r="D33" s="14">
        <v>30</v>
      </c>
      <c r="E33" s="35" t="s">
        <v>15</v>
      </c>
      <c r="G33" s="14">
        <v>30</v>
      </c>
      <c r="H33" s="35" t="s">
        <v>509</v>
      </c>
    </row>
    <row r="34" spans="1:8" hidden="1" x14ac:dyDescent="0.3">
      <c r="A34" s="14">
        <v>31</v>
      </c>
      <c r="B34" s="14" t="s">
        <v>46</v>
      </c>
      <c r="D34" s="14">
        <v>31</v>
      </c>
      <c r="E34" s="35" t="s">
        <v>14</v>
      </c>
      <c r="G34" s="14">
        <v>31</v>
      </c>
      <c r="H34" s="35" t="s">
        <v>509</v>
      </c>
    </row>
    <row r="35" spans="1:8" hidden="1" x14ac:dyDescent="0.3">
      <c r="A35" s="14">
        <v>32</v>
      </c>
      <c r="B35" s="14" t="s">
        <v>46</v>
      </c>
      <c r="D35" s="14">
        <v>32</v>
      </c>
      <c r="E35" s="35" t="s">
        <v>14</v>
      </c>
      <c r="G35" s="14">
        <v>32</v>
      </c>
      <c r="H35" s="35" t="s">
        <v>509</v>
      </c>
    </row>
    <row r="36" spans="1:8" hidden="1" x14ac:dyDescent="0.3">
      <c r="A36" s="14">
        <v>33</v>
      </c>
      <c r="B36" s="14" t="s">
        <v>46</v>
      </c>
      <c r="D36" s="14">
        <v>33</v>
      </c>
      <c r="E36" s="35" t="s">
        <v>14</v>
      </c>
      <c r="G36" s="14">
        <v>33</v>
      </c>
      <c r="H36" s="35" t="s">
        <v>509</v>
      </c>
    </row>
    <row r="37" spans="1:8" hidden="1" x14ac:dyDescent="0.3">
      <c r="A37" s="14">
        <v>34</v>
      </c>
      <c r="B37" s="14" t="s">
        <v>46</v>
      </c>
      <c r="D37" s="14">
        <v>34</v>
      </c>
      <c r="E37" s="35" t="s">
        <v>14</v>
      </c>
      <c r="G37" s="14">
        <v>34</v>
      </c>
      <c r="H37" s="35" t="s">
        <v>509</v>
      </c>
    </row>
    <row r="38" spans="1:8" hidden="1" x14ac:dyDescent="0.3">
      <c r="A38" s="14">
        <v>35</v>
      </c>
      <c r="B38" s="14" t="s">
        <v>46</v>
      </c>
      <c r="D38" s="14">
        <v>35</v>
      </c>
      <c r="E38" s="35" t="s">
        <v>14</v>
      </c>
      <c r="G38" s="14">
        <v>35</v>
      </c>
      <c r="H38" s="35" t="s">
        <v>509</v>
      </c>
    </row>
    <row r="39" spans="1:8" hidden="1" x14ac:dyDescent="0.3">
      <c r="A39" s="14">
        <v>36</v>
      </c>
      <c r="B39" s="14" t="s">
        <v>47</v>
      </c>
      <c r="D39" s="14">
        <v>36</v>
      </c>
      <c r="E39" s="35" t="s">
        <v>13</v>
      </c>
      <c r="G39" s="14">
        <v>36</v>
      </c>
      <c r="H39" s="35" t="s">
        <v>509</v>
      </c>
    </row>
    <row r="40" spans="1:8" hidden="1" x14ac:dyDescent="0.3">
      <c r="A40" s="14">
        <v>37</v>
      </c>
      <c r="B40" s="14" t="s">
        <v>47</v>
      </c>
      <c r="D40" s="14">
        <v>37</v>
      </c>
      <c r="E40" s="35" t="s">
        <v>13</v>
      </c>
      <c r="G40" s="14">
        <v>37</v>
      </c>
      <c r="H40" s="35" t="s">
        <v>509</v>
      </c>
    </row>
    <row r="41" spans="1:8" hidden="1" x14ac:dyDescent="0.3">
      <c r="A41" s="14">
        <v>38</v>
      </c>
      <c r="B41" s="14" t="s">
        <v>47</v>
      </c>
      <c r="D41" s="14">
        <v>38</v>
      </c>
      <c r="E41" s="35" t="s">
        <v>13</v>
      </c>
      <c r="G41" s="14">
        <v>38</v>
      </c>
      <c r="H41" s="35" t="s">
        <v>509</v>
      </c>
    </row>
    <row r="42" spans="1:8" hidden="1" x14ac:dyDescent="0.3">
      <c r="A42" s="14">
        <v>39</v>
      </c>
      <c r="B42" s="14" t="s">
        <v>47</v>
      </c>
      <c r="D42" s="14">
        <v>39</v>
      </c>
      <c r="E42" s="35" t="s">
        <v>13</v>
      </c>
      <c r="G42" s="14">
        <v>39</v>
      </c>
      <c r="H42" s="35" t="s">
        <v>509</v>
      </c>
    </row>
    <row r="43" spans="1:8" hidden="1" x14ac:dyDescent="0.3">
      <c r="A43" s="14">
        <v>40</v>
      </c>
      <c r="B43" s="14" t="s">
        <v>47</v>
      </c>
      <c r="D43" s="14">
        <v>40</v>
      </c>
      <c r="E43" s="35" t="s">
        <v>13</v>
      </c>
      <c r="G43" s="14">
        <v>40</v>
      </c>
      <c r="H43" s="35" t="s">
        <v>509</v>
      </c>
    </row>
    <row r="44" spans="1:8" hidden="1" x14ac:dyDescent="0.3">
      <c r="A44" s="14">
        <v>41</v>
      </c>
      <c r="B44" s="14" t="s">
        <v>47</v>
      </c>
      <c r="D44" s="14">
        <v>41</v>
      </c>
      <c r="E44" s="35" t="s">
        <v>12</v>
      </c>
      <c r="G44" s="14">
        <v>41</v>
      </c>
      <c r="H44" s="35" t="s">
        <v>510</v>
      </c>
    </row>
    <row r="45" spans="1:8" hidden="1" x14ac:dyDescent="0.3">
      <c r="A45" s="14">
        <v>42</v>
      </c>
      <c r="B45" s="14" t="s">
        <v>47</v>
      </c>
      <c r="D45" s="14">
        <v>42</v>
      </c>
      <c r="E45" s="35" t="s">
        <v>12</v>
      </c>
      <c r="G45" s="14">
        <v>42</v>
      </c>
      <c r="H45" s="35" t="s">
        <v>510</v>
      </c>
    </row>
    <row r="46" spans="1:8" hidden="1" x14ac:dyDescent="0.3">
      <c r="A46" s="14">
        <v>43</v>
      </c>
      <c r="B46" s="14" t="s">
        <v>47</v>
      </c>
      <c r="D46" s="14">
        <v>43</v>
      </c>
      <c r="E46" s="35" t="s">
        <v>12</v>
      </c>
      <c r="G46" s="14">
        <v>43</v>
      </c>
      <c r="H46" s="35" t="s">
        <v>510</v>
      </c>
    </row>
    <row r="47" spans="1:8" hidden="1" x14ac:dyDescent="0.3">
      <c r="A47" s="14">
        <v>44</v>
      </c>
      <c r="B47" s="14" t="s">
        <v>47</v>
      </c>
      <c r="D47" s="14">
        <v>44</v>
      </c>
      <c r="E47" s="35" t="s">
        <v>12</v>
      </c>
      <c r="G47" s="14">
        <v>44</v>
      </c>
      <c r="H47" s="35" t="s">
        <v>510</v>
      </c>
    </row>
    <row r="48" spans="1:8" hidden="1" x14ac:dyDescent="0.3">
      <c r="A48" s="14">
        <v>45</v>
      </c>
      <c r="B48" s="14" t="s">
        <v>47</v>
      </c>
      <c r="D48" s="14">
        <v>45</v>
      </c>
      <c r="E48" s="35" t="s">
        <v>12</v>
      </c>
      <c r="G48" s="14">
        <v>45</v>
      </c>
      <c r="H48" s="35" t="s">
        <v>510</v>
      </c>
    </row>
    <row r="49" spans="1:8" hidden="1" x14ac:dyDescent="0.3">
      <c r="A49" s="14">
        <v>46</v>
      </c>
      <c r="B49" s="14" t="s">
        <v>48</v>
      </c>
      <c r="D49" s="14">
        <v>46</v>
      </c>
      <c r="E49" s="35" t="s">
        <v>11</v>
      </c>
      <c r="G49" s="14">
        <v>46</v>
      </c>
      <c r="H49" s="35" t="s">
        <v>510</v>
      </c>
    </row>
    <row r="50" spans="1:8" hidden="1" x14ac:dyDescent="0.3">
      <c r="A50" s="14">
        <v>47</v>
      </c>
      <c r="B50" s="14" t="s">
        <v>48</v>
      </c>
      <c r="D50" s="14">
        <v>47</v>
      </c>
      <c r="E50" s="35" t="s">
        <v>11</v>
      </c>
      <c r="G50" s="14">
        <v>47</v>
      </c>
      <c r="H50" s="35" t="s">
        <v>510</v>
      </c>
    </row>
    <row r="51" spans="1:8" hidden="1" x14ac:dyDescent="0.3">
      <c r="A51" s="14">
        <v>48</v>
      </c>
      <c r="B51" s="14" t="s">
        <v>48</v>
      </c>
      <c r="D51" s="14">
        <v>48</v>
      </c>
      <c r="E51" s="35" t="s">
        <v>11</v>
      </c>
      <c r="G51" s="14">
        <v>48</v>
      </c>
      <c r="H51" s="35" t="s">
        <v>510</v>
      </c>
    </row>
    <row r="52" spans="1:8" hidden="1" x14ac:dyDescent="0.3">
      <c r="A52" s="14">
        <v>49</v>
      </c>
      <c r="B52" s="14" t="s">
        <v>48</v>
      </c>
      <c r="D52" s="14">
        <v>49</v>
      </c>
      <c r="E52" s="35" t="s">
        <v>11</v>
      </c>
      <c r="G52" s="14">
        <v>49</v>
      </c>
      <c r="H52" s="35" t="s">
        <v>510</v>
      </c>
    </row>
    <row r="53" spans="1:8" hidden="1" x14ac:dyDescent="0.3">
      <c r="A53" s="14">
        <v>50</v>
      </c>
      <c r="B53" s="14" t="s">
        <v>48</v>
      </c>
      <c r="D53" s="14">
        <v>50</v>
      </c>
      <c r="E53" s="35" t="s">
        <v>11</v>
      </c>
      <c r="G53" s="14">
        <v>50</v>
      </c>
      <c r="H53" s="35" t="s">
        <v>510</v>
      </c>
    </row>
    <row r="54" spans="1:8" hidden="1" x14ac:dyDescent="0.3">
      <c r="A54" s="14">
        <v>51</v>
      </c>
      <c r="B54" s="14" t="s">
        <v>48</v>
      </c>
      <c r="D54" s="14">
        <v>51</v>
      </c>
      <c r="E54" s="35" t="s">
        <v>10</v>
      </c>
      <c r="G54" s="14">
        <v>51</v>
      </c>
      <c r="H54" s="35" t="s">
        <v>510</v>
      </c>
    </row>
    <row r="55" spans="1:8" hidden="1" x14ac:dyDescent="0.3">
      <c r="A55" s="14">
        <v>52</v>
      </c>
      <c r="B55" s="14" t="s">
        <v>48</v>
      </c>
      <c r="D55" s="14">
        <v>52</v>
      </c>
      <c r="E55" s="35" t="s">
        <v>10</v>
      </c>
      <c r="G55" s="14">
        <v>52</v>
      </c>
      <c r="H55" s="35" t="s">
        <v>510</v>
      </c>
    </row>
    <row r="56" spans="1:8" hidden="1" x14ac:dyDescent="0.3">
      <c r="A56" s="14">
        <v>53</v>
      </c>
      <c r="B56" s="14" t="s">
        <v>48</v>
      </c>
      <c r="D56" s="14">
        <v>53</v>
      </c>
      <c r="E56" s="35" t="s">
        <v>10</v>
      </c>
      <c r="G56" s="14">
        <v>53</v>
      </c>
      <c r="H56" s="35" t="s">
        <v>510</v>
      </c>
    </row>
    <row r="57" spans="1:8" hidden="1" x14ac:dyDescent="0.3">
      <c r="A57" s="14">
        <v>54</v>
      </c>
      <c r="B57" s="14" t="s">
        <v>48</v>
      </c>
      <c r="D57" s="14">
        <v>54</v>
      </c>
      <c r="E57" s="35" t="s">
        <v>10</v>
      </c>
      <c r="G57" s="14">
        <v>54</v>
      </c>
      <c r="H57" s="35" t="s">
        <v>510</v>
      </c>
    </row>
    <row r="58" spans="1:8" hidden="1" x14ac:dyDescent="0.3">
      <c r="A58" s="14">
        <v>55</v>
      </c>
      <c r="B58" s="14" t="s">
        <v>48</v>
      </c>
      <c r="D58" s="14">
        <v>55</v>
      </c>
      <c r="E58" s="35" t="s">
        <v>10</v>
      </c>
      <c r="G58" s="14">
        <v>55</v>
      </c>
      <c r="H58" s="35" t="s">
        <v>510</v>
      </c>
    </row>
    <row r="59" spans="1:8" hidden="1" x14ac:dyDescent="0.3">
      <c r="A59" s="14">
        <v>56</v>
      </c>
      <c r="B59" s="14" t="s">
        <v>9</v>
      </c>
      <c r="D59" s="14">
        <v>56</v>
      </c>
      <c r="E59" s="35" t="s">
        <v>124</v>
      </c>
      <c r="G59" s="14">
        <v>56</v>
      </c>
      <c r="H59" s="35" t="s">
        <v>510</v>
      </c>
    </row>
    <row r="60" spans="1:8" hidden="1" x14ac:dyDescent="0.3">
      <c r="A60" s="14">
        <v>57</v>
      </c>
      <c r="B60" s="14" t="s">
        <v>9</v>
      </c>
      <c r="D60" s="14">
        <v>57</v>
      </c>
      <c r="E60" s="35" t="s">
        <v>124</v>
      </c>
      <c r="G60" s="14">
        <v>57</v>
      </c>
      <c r="H60" s="35" t="s">
        <v>510</v>
      </c>
    </row>
    <row r="61" spans="1:8" hidden="1" x14ac:dyDescent="0.3">
      <c r="A61" s="14">
        <v>58</v>
      </c>
      <c r="B61" s="14" t="s">
        <v>9</v>
      </c>
      <c r="D61" s="14">
        <v>58</v>
      </c>
      <c r="E61" s="35" t="s">
        <v>124</v>
      </c>
      <c r="G61" s="14">
        <v>58</v>
      </c>
      <c r="H61" s="35" t="s">
        <v>510</v>
      </c>
    </row>
    <row r="62" spans="1:8" hidden="1" x14ac:dyDescent="0.3">
      <c r="A62" s="14">
        <v>59</v>
      </c>
      <c r="B62" s="14" t="s">
        <v>9</v>
      </c>
      <c r="D62" s="14">
        <v>59</v>
      </c>
      <c r="E62" s="35" t="s">
        <v>124</v>
      </c>
      <c r="G62" s="14">
        <v>59</v>
      </c>
      <c r="H62" s="35" t="s">
        <v>510</v>
      </c>
    </row>
    <row r="63" spans="1:8" hidden="1" x14ac:dyDescent="0.3">
      <c r="A63" s="14">
        <v>60</v>
      </c>
      <c r="B63" s="14" t="s">
        <v>49</v>
      </c>
      <c r="D63" s="14">
        <v>60</v>
      </c>
      <c r="E63" s="35" t="s">
        <v>124</v>
      </c>
      <c r="G63" s="14">
        <v>60</v>
      </c>
      <c r="H63" s="35" t="s">
        <v>511</v>
      </c>
    </row>
    <row r="64" spans="1:8" hidden="1" x14ac:dyDescent="0.3">
      <c r="A64" s="14">
        <v>61</v>
      </c>
      <c r="B64" s="14" t="s">
        <v>49</v>
      </c>
      <c r="D64" s="14">
        <v>61</v>
      </c>
      <c r="E64" s="14" t="s">
        <v>125</v>
      </c>
      <c r="G64" s="14">
        <v>61</v>
      </c>
      <c r="H64" s="35" t="s">
        <v>511</v>
      </c>
    </row>
    <row r="65" spans="1:8" hidden="1" x14ac:dyDescent="0.3">
      <c r="A65" s="14">
        <v>62</v>
      </c>
      <c r="B65" s="14" t="s">
        <v>49</v>
      </c>
      <c r="D65" s="14">
        <v>62</v>
      </c>
      <c r="E65" s="14" t="s">
        <v>125</v>
      </c>
      <c r="G65" s="14">
        <v>62</v>
      </c>
      <c r="H65" s="35" t="s">
        <v>511</v>
      </c>
    </row>
    <row r="66" spans="1:8" hidden="1" x14ac:dyDescent="0.3">
      <c r="A66" s="14">
        <v>63</v>
      </c>
      <c r="B66" s="14" t="s">
        <v>49</v>
      </c>
      <c r="D66" s="14">
        <v>63</v>
      </c>
      <c r="E66" s="14" t="s">
        <v>125</v>
      </c>
      <c r="G66" s="14">
        <v>63</v>
      </c>
      <c r="H66" s="35" t="s">
        <v>511</v>
      </c>
    </row>
    <row r="67" spans="1:8" hidden="1" x14ac:dyDescent="0.3">
      <c r="A67" s="14">
        <v>64</v>
      </c>
      <c r="B67" s="14" t="s">
        <v>49</v>
      </c>
      <c r="D67" s="14">
        <v>64</v>
      </c>
      <c r="E67" s="14" t="s">
        <v>125</v>
      </c>
      <c r="G67" s="14">
        <v>64</v>
      </c>
      <c r="H67" s="35" t="s">
        <v>511</v>
      </c>
    </row>
    <row r="68" spans="1:8" hidden="1" x14ac:dyDescent="0.3">
      <c r="A68" s="14">
        <v>65</v>
      </c>
      <c r="B68" s="14" t="s">
        <v>49</v>
      </c>
      <c r="D68" s="14">
        <v>65</v>
      </c>
      <c r="E68" s="14" t="s">
        <v>125</v>
      </c>
      <c r="G68" s="14">
        <v>65</v>
      </c>
      <c r="H68" s="35" t="s">
        <v>511</v>
      </c>
    </row>
    <row r="69" spans="1:8" hidden="1" x14ac:dyDescent="0.3">
      <c r="A69" s="14">
        <v>66</v>
      </c>
      <c r="B69" s="14" t="s">
        <v>437</v>
      </c>
      <c r="D69" s="14">
        <v>66</v>
      </c>
      <c r="E69" s="14" t="s">
        <v>126</v>
      </c>
      <c r="G69" s="14">
        <v>66</v>
      </c>
      <c r="H69" s="35" t="s">
        <v>511</v>
      </c>
    </row>
    <row r="70" spans="1:8" hidden="1" x14ac:dyDescent="0.3">
      <c r="A70" s="14">
        <f t="shared" ref="A70:A103" si="0">A69+1</f>
        <v>67</v>
      </c>
      <c r="B70" s="14" t="s">
        <v>437</v>
      </c>
      <c r="D70" s="14">
        <f t="shared" ref="D70:D103" si="1">D69+1</f>
        <v>67</v>
      </c>
      <c r="E70" s="14" t="s">
        <v>126</v>
      </c>
      <c r="G70" s="14">
        <f t="shared" ref="G70:G103" si="2">G69+1</f>
        <v>67</v>
      </c>
      <c r="H70" s="35" t="s">
        <v>511</v>
      </c>
    </row>
    <row r="71" spans="1:8" hidden="1" x14ac:dyDescent="0.3">
      <c r="A71" s="14">
        <f t="shared" si="0"/>
        <v>68</v>
      </c>
      <c r="B71" s="14" t="s">
        <v>437</v>
      </c>
      <c r="D71" s="14">
        <f t="shared" si="1"/>
        <v>68</v>
      </c>
      <c r="E71" s="14" t="s">
        <v>126</v>
      </c>
      <c r="G71" s="14">
        <f t="shared" si="2"/>
        <v>68</v>
      </c>
      <c r="H71" s="35" t="s">
        <v>511</v>
      </c>
    </row>
    <row r="72" spans="1:8" hidden="1" x14ac:dyDescent="0.3">
      <c r="A72" s="14">
        <f t="shared" si="0"/>
        <v>69</v>
      </c>
      <c r="B72" s="14" t="s">
        <v>437</v>
      </c>
      <c r="D72" s="14">
        <f t="shared" si="1"/>
        <v>69</v>
      </c>
      <c r="E72" s="14" t="s">
        <v>126</v>
      </c>
      <c r="G72" s="14">
        <f t="shared" si="2"/>
        <v>69</v>
      </c>
      <c r="H72" s="35" t="s">
        <v>511</v>
      </c>
    </row>
    <row r="73" spans="1:8" hidden="1" x14ac:dyDescent="0.3">
      <c r="A73" s="14">
        <f t="shared" si="0"/>
        <v>70</v>
      </c>
      <c r="B73" s="14" t="s">
        <v>437</v>
      </c>
      <c r="D73" s="14">
        <f t="shared" si="1"/>
        <v>70</v>
      </c>
      <c r="E73" s="14" t="s">
        <v>154</v>
      </c>
      <c r="G73" s="14">
        <f t="shared" si="2"/>
        <v>70</v>
      </c>
      <c r="H73" s="14" t="s">
        <v>154</v>
      </c>
    </row>
    <row r="74" spans="1:8" hidden="1" x14ac:dyDescent="0.3">
      <c r="A74" s="14">
        <f t="shared" si="0"/>
        <v>71</v>
      </c>
      <c r="B74" s="14" t="s">
        <v>127</v>
      </c>
      <c r="D74" s="14">
        <f t="shared" si="1"/>
        <v>71</v>
      </c>
      <c r="E74" s="14" t="s">
        <v>154</v>
      </c>
      <c r="G74" s="14">
        <f t="shared" si="2"/>
        <v>71</v>
      </c>
      <c r="H74" s="14" t="s">
        <v>154</v>
      </c>
    </row>
    <row r="75" spans="1:8" hidden="1" x14ac:dyDescent="0.3">
      <c r="A75" s="14">
        <f t="shared" si="0"/>
        <v>72</v>
      </c>
      <c r="B75" s="14" t="s">
        <v>127</v>
      </c>
      <c r="D75" s="14">
        <f t="shared" si="1"/>
        <v>72</v>
      </c>
      <c r="E75" s="14" t="s">
        <v>154</v>
      </c>
      <c r="G75" s="14">
        <f t="shared" si="2"/>
        <v>72</v>
      </c>
      <c r="H75" s="14" t="s">
        <v>154</v>
      </c>
    </row>
    <row r="76" spans="1:8" hidden="1" x14ac:dyDescent="0.3">
      <c r="A76" s="14">
        <f t="shared" si="0"/>
        <v>73</v>
      </c>
      <c r="B76" s="14" t="s">
        <v>127</v>
      </c>
      <c r="D76" s="14">
        <f t="shared" si="1"/>
        <v>73</v>
      </c>
      <c r="E76" s="14" t="s">
        <v>154</v>
      </c>
      <c r="G76" s="14">
        <f t="shared" si="2"/>
        <v>73</v>
      </c>
      <c r="H76" s="14" t="s">
        <v>154</v>
      </c>
    </row>
    <row r="77" spans="1:8" hidden="1" x14ac:dyDescent="0.3">
      <c r="A77" s="14">
        <f t="shared" si="0"/>
        <v>74</v>
      </c>
      <c r="B77" s="14" t="s">
        <v>127</v>
      </c>
      <c r="D77" s="14">
        <f t="shared" si="1"/>
        <v>74</v>
      </c>
      <c r="E77" s="14" t="s">
        <v>154</v>
      </c>
      <c r="G77" s="14">
        <f t="shared" si="2"/>
        <v>74</v>
      </c>
      <c r="H77" s="14" t="s">
        <v>154</v>
      </c>
    </row>
    <row r="78" spans="1:8" hidden="1" x14ac:dyDescent="0.3">
      <c r="A78" s="14">
        <f t="shared" si="0"/>
        <v>75</v>
      </c>
      <c r="B78" s="14" t="s">
        <v>127</v>
      </c>
      <c r="D78" s="14">
        <f t="shared" si="1"/>
        <v>75</v>
      </c>
      <c r="E78" s="14" t="s">
        <v>154</v>
      </c>
      <c r="G78" s="14">
        <f t="shared" si="2"/>
        <v>75</v>
      </c>
      <c r="H78" s="14" t="s">
        <v>154</v>
      </c>
    </row>
    <row r="79" spans="1:8" hidden="1" x14ac:dyDescent="0.3">
      <c r="A79" s="14">
        <f t="shared" si="0"/>
        <v>76</v>
      </c>
      <c r="B79" s="14" t="s">
        <v>127</v>
      </c>
      <c r="D79" s="14">
        <f t="shared" si="1"/>
        <v>76</v>
      </c>
      <c r="E79" s="14" t="s">
        <v>155</v>
      </c>
      <c r="G79" s="14">
        <f t="shared" si="2"/>
        <v>76</v>
      </c>
      <c r="H79" s="14" t="s">
        <v>155</v>
      </c>
    </row>
    <row r="80" spans="1:8" hidden="1" x14ac:dyDescent="0.3">
      <c r="A80" s="14">
        <f t="shared" si="0"/>
        <v>77</v>
      </c>
      <c r="B80" s="14" t="s">
        <v>127</v>
      </c>
      <c r="D80" s="14">
        <f t="shared" si="1"/>
        <v>77</v>
      </c>
      <c r="E80" s="14" t="s">
        <v>155</v>
      </c>
      <c r="G80" s="14">
        <f t="shared" si="2"/>
        <v>77</v>
      </c>
      <c r="H80" s="14" t="s">
        <v>155</v>
      </c>
    </row>
    <row r="81" spans="1:8" hidden="1" x14ac:dyDescent="0.3">
      <c r="A81" s="14">
        <f t="shared" si="0"/>
        <v>78</v>
      </c>
      <c r="B81" s="14" t="s">
        <v>127</v>
      </c>
      <c r="D81" s="14">
        <f t="shared" si="1"/>
        <v>78</v>
      </c>
      <c r="E81" s="14" t="s">
        <v>155</v>
      </c>
      <c r="G81" s="14">
        <f t="shared" si="2"/>
        <v>78</v>
      </c>
      <c r="H81" s="14" t="s">
        <v>155</v>
      </c>
    </row>
    <row r="82" spans="1:8" hidden="1" x14ac:dyDescent="0.3">
      <c r="A82" s="14">
        <f t="shared" si="0"/>
        <v>79</v>
      </c>
      <c r="B82" s="14" t="s">
        <v>127</v>
      </c>
      <c r="D82" s="14">
        <f t="shared" si="1"/>
        <v>79</v>
      </c>
      <c r="E82" s="14" t="s">
        <v>155</v>
      </c>
      <c r="G82" s="14">
        <f t="shared" si="2"/>
        <v>79</v>
      </c>
      <c r="H82" s="14" t="s">
        <v>155</v>
      </c>
    </row>
    <row r="83" spans="1:8" hidden="1" x14ac:dyDescent="0.3">
      <c r="A83" s="14">
        <f t="shared" si="0"/>
        <v>80</v>
      </c>
      <c r="B83" s="14" t="s">
        <v>127</v>
      </c>
      <c r="D83" s="14">
        <f t="shared" si="1"/>
        <v>80</v>
      </c>
      <c r="E83" s="14" t="s">
        <v>155</v>
      </c>
      <c r="G83" s="14">
        <f t="shared" si="2"/>
        <v>80</v>
      </c>
      <c r="H83" s="14" t="s">
        <v>155</v>
      </c>
    </row>
    <row r="84" spans="1:8" x14ac:dyDescent="0.3">
      <c r="A84" s="14">
        <f t="shared" si="0"/>
        <v>81</v>
      </c>
      <c r="B84" s="14" t="s">
        <v>127</v>
      </c>
      <c r="D84" s="14">
        <f t="shared" si="1"/>
        <v>81</v>
      </c>
      <c r="E84" s="14" t="s">
        <v>127</v>
      </c>
      <c r="G84" s="14">
        <f t="shared" si="2"/>
        <v>81</v>
      </c>
      <c r="H84" s="14" t="s">
        <v>127</v>
      </c>
    </row>
    <row r="85" spans="1:8" x14ac:dyDescent="0.3">
      <c r="A85" s="14">
        <f t="shared" si="0"/>
        <v>82</v>
      </c>
      <c r="B85" s="14" t="s">
        <v>127</v>
      </c>
      <c r="D85" s="14">
        <f t="shared" si="1"/>
        <v>82</v>
      </c>
      <c r="E85" s="14" t="s">
        <v>127</v>
      </c>
      <c r="G85" s="14">
        <f t="shared" si="2"/>
        <v>82</v>
      </c>
      <c r="H85" s="14" t="s">
        <v>127</v>
      </c>
    </row>
    <row r="86" spans="1:8" x14ac:dyDescent="0.3">
      <c r="A86" s="14">
        <f t="shared" si="0"/>
        <v>83</v>
      </c>
      <c r="B86" s="14" t="s">
        <v>127</v>
      </c>
      <c r="D86" s="14">
        <f t="shared" si="1"/>
        <v>83</v>
      </c>
      <c r="E86" s="14" t="s">
        <v>127</v>
      </c>
      <c r="G86" s="14">
        <f t="shared" si="2"/>
        <v>83</v>
      </c>
      <c r="H86" s="14" t="s">
        <v>127</v>
      </c>
    </row>
    <row r="87" spans="1:8" x14ac:dyDescent="0.3">
      <c r="A87" s="14">
        <f t="shared" si="0"/>
        <v>84</v>
      </c>
      <c r="B87" s="14" t="s">
        <v>127</v>
      </c>
      <c r="D87" s="14">
        <f t="shared" si="1"/>
        <v>84</v>
      </c>
      <c r="E87" s="14" t="s">
        <v>127</v>
      </c>
      <c r="G87" s="14">
        <f t="shared" si="2"/>
        <v>84</v>
      </c>
      <c r="H87" s="14" t="s">
        <v>127</v>
      </c>
    </row>
    <row r="88" spans="1:8" x14ac:dyDescent="0.3">
      <c r="A88" s="14">
        <f t="shared" si="0"/>
        <v>85</v>
      </c>
      <c r="B88" s="14" t="s">
        <v>127</v>
      </c>
      <c r="D88" s="14">
        <f t="shared" si="1"/>
        <v>85</v>
      </c>
      <c r="E88" s="14" t="s">
        <v>127</v>
      </c>
      <c r="G88" s="14">
        <f t="shared" si="2"/>
        <v>85</v>
      </c>
      <c r="H88" s="14" t="s">
        <v>127</v>
      </c>
    </row>
    <row r="89" spans="1:8" x14ac:dyDescent="0.3">
      <c r="A89" s="14">
        <f t="shared" si="0"/>
        <v>86</v>
      </c>
      <c r="B89" s="14" t="s">
        <v>127</v>
      </c>
      <c r="D89" s="14">
        <f t="shared" si="1"/>
        <v>86</v>
      </c>
      <c r="E89" s="14" t="s">
        <v>127</v>
      </c>
      <c r="G89" s="14">
        <f t="shared" si="2"/>
        <v>86</v>
      </c>
      <c r="H89" s="14" t="s">
        <v>127</v>
      </c>
    </row>
    <row r="90" spans="1:8" x14ac:dyDescent="0.3">
      <c r="A90" s="14">
        <f t="shared" si="0"/>
        <v>87</v>
      </c>
      <c r="B90" s="14" t="s">
        <v>127</v>
      </c>
      <c r="D90" s="14">
        <f t="shared" si="1"/>
        <v>87</v>
      </c>
      <c r="E90" s="14" t="s">
        <v>127</v>
      </c>
      <c r="G90" s="14">
        <f t="shared" si="2"/>
        <v>87</v>
      </c>
      <c r="H90" s="14" t="s">
        <v>127</v>
      </c>
    </row>
    <row r="91" spans="1:8" x14ac:dyDescent="0.3">
      <c r="A91" s="14">
        <f t="shared" si="0"/>
        <v>88</v>
      </c>
      <c r="B91" s="14" t="s">
        <v>127</v>
      </c>
      <c r="D91" s="14">
        <f t="shared" si="1"/>
        <v>88</v>
      </c>
      <c r="E91" s="14" t="s">
        <v>127</v>
      </c>
      <c r="G91" s="14">
        <f t="shared" si="2"/>
        <v>88</v>
      </c>
      <c r="H91" s="14" t="s">
        <v>127</v>
      </c>
    </row>
    <row r="92" spans="1:8" x14ac:dyDescent="0.3">
      <c r="A92" s="14">
        <f t="shared" si="0"/>
        <v>89</v>
      </c>
      <c r="B92" s="14" t="s">
        <v>127</v>
      </c>
      <c r="D92" s="14">
        <f t="shared" si="1"/>
        <v>89</v>
      </c>
      <c r="E92" s="14" t="s">
        <v>127</v>
      </c>
      <c r="G92" s="14">
        <f t="shared" si="2"/>
        <v>89</v>
      </c>
      <c r="H92" s="14" t="s">
        <v>127</v>
      </c>
    </row>
    <row r="93" spans="1:8" x14ac:dyDescent="0.3">
      <c r="A93" s="14">
        <f t="shared" si="0"/>
        <v>90</v>
      </c>
      <c r="B93" s="14" t="s">
        <v>127</v>
      </c>
      <c r="D93" s="14">
        <f t="shared" si="1"/>
        <v>90</v>
      </c>
      <c r="E93" s="14" t="s">
        <v>127</v>
      </c>
      <c r="G93" s="14">
        <f t="shared" si="2"/>
        <v>90</v>
      </c>
      <c r="H93" s="14" t="s">
        <v>127</v>
      </c>
    </row>
    <row r="94" spans="1:8" x14ac:dyDescent="0.3">
      <c r="A94" s="14">
        <f t="shared" si="0"/>
        <v>91</v>
      </c>
      <c r="B94" s="14" t="s">
        <v>127</v>
      </c>
      <c r="D94" s="14">
        <f t="shared" si="1"/>
        <v>91</v>
      </c>
      <c r="E94" s="14" t="s">
        <v>127</v>
      </c>
      <c r="G94" s="14">
        <f t="shared" si="2"/>
        <v>91</v>
      </c>
      <c r="H94" s="14" t="s">
        <v>127</v>
      </c>
    </row>
    <row r="95" spans="1:8" x14ac:dyDescent="0.3">
      <c r="A95" s="14">
        <f t="shared" si="0"/>
        <v>92</v>
      </c>
      <c r="B95" s="14" t="s">
        <v>127</v>
      </c>
      <c r="D95" s="14">
        <f t="shared" si="1"/>
        <v>92</v>
      </c>
      <c r="E95" s="14" t="s">
        <v>127</v>
      </c>
      <c r="G95" s="14">
        <f t="shared" si="2"/>
        <v>92</v>
      </c>
      <c r="H95" s="14" t="s">
        <v>127</v>
      </c>
    </row>
    <row r="96" spans="1:8" x14ac:dyDescent="0.3">
      <c r="A96" s="14">
        <f t="shared" si="0"/>
        <v>93</v>
      </c>
      <c r="B96" s="14" t="s">
        <v>127</v>
      </c>
      <c r="D96" s="14">
        <f t="shared" si="1"/>
        <v>93</v>
      </c>
      <c r="E96" s="14" t="s">
        <v>127</v>
      </c>
      <c r="G96" s="14">
        <f t="shared" si="2"/>
        <v>93</v>
      </c>
      <c r="H96" s="14" t="s">
        <v>127</v>
      </c>
    </row>
    <row r="97" spans="1:8" x14ac:dyDescent="0.3">
      <c r="A97" s="14">
        <f t="shared" si="0"/>
        <v>94</v>
      </c>
      <c r="B97" s="14" t="s">
        <v>127</v>
      </c>
      <c r="D97" s="14">
        <f t="shared" si="1"/>
        <v>94</v>
      </c>
      <c r="E97" s="14" t="s">
        <v>127</v>
      </c>
      <c r="G97" s="14">
        <f t="shared" si="2"/>
        <v>94</v>
      </c>
      <c r="H97" s="14" t="s">
        <v>127</v>
      </c>
    </row>
    <row r="98" spans="1:8" x14ac:dyDescent="0.3">
      <c r="A98" s="14">
        <f t="shared" si="0"/>
        <v>95</v>
      </c>
      <c r="B98" s="14" t="s">
        <v>127</v>
      </c>
      <c r="D98" s="14">
        <f t="shared" si="1"/>
        <v>95</v>
      </c>
      <c r="E98" s="14" t="s">
        <v>127</v>
      </c>
      <c r="G98" s="14">
        <f t="shared" si="2"/>
        <v>95</v>
      </c>
      <c r="H98" s="14" t="s">
        <v>127</v>
      </c>
    </row>
    <row r="99" spans="1:8" x14ac:dyDescent="0.3">
      <c r="A99" s="14">
        <f t="shared" si="0"/>
        <v>96</v>
      </c>
      <c r="B99" s="14" t="s">
        <v>127</v>
      </c>
      <c r="D99" s="14">
        <f t="shared" si="1"/>
        <v>96</v>
      </c>
      <c r="E99" s="14" t="s">
        <v>127</v>
      </c>
      <c r="G99" s="14">
        <f t="shared" si="2"/>
        <v>96</v>
      </c>
      <c r="H99" s="14" t="s">
        <v>127</v>
      </c>
    </row>
    <row r="100" spans="1:8" x14ac:dyDescent="0.3">
      <c r="A100" s="14">
        <f t="shared" si="0"/>
        <v>97</v>
      </c>
      <c r="B100" s="14" t="s">
        <v>127</v>
      </c>
      <c r="D100" s="14">
        <f t="shared" si="1"/>
        <v>97</v>
      </c>
      <c r="E100" s="14" t="s">
        <v>127</v>
      </c>
      <c r="G100" s="14">
        <f t="shared" si="2"/>
        <v>97</v>
      </c>
      <c r="H100" s="14" t="s">
        <v>127</v>
      </c>
    </row>
    <row r="101" spans="1:8" x14ac:dyDescent="0.3">
      <c r="A101" s="14">
        <f t="shared" si="0"/>
        <v>98</v>
      </c>
      <c r="B101" s="14" t="s">
        <v>127</v>
      </c>
      <c r="D101" s="14">
        <f t="shared" si="1"/>
        <v>98</v>
      </c>
      <c r="E101" s="14" t="s">
        <v>127</v>
      </c>
      <c r="G101" s="14">
        <f t="shared" si="2"/>
        <v>98</v>
      </c>
      <c r="H101" s="14" t="s">
        <v>127</v>
      </c>
    </row>
    <row r="102" spans="1:8" x14ac:dyDescent="0.3">
      <c r="A102" s="14">
        <f t="shared" si="0"/>
        <v>99</v>
      </c>
      <c r="B102" s="14" t="s">
        <v>127</v>
      </c>
      <c r="D102" s="14">
        <f t="shared" si="1"/>
        <v>99</v>
      </c>
      <c r="E102" s="14" t="s">
        <v>127</v>
      </c>
      <c r="G102" s="14">
        <f t="shared" si="2"/>
        <v>99</v>
      </c>
      <c r="H102" s="14" t="s">
        <v>127</v>
      </c>
    </row>
    <row r="103" spans="1:8" x14ac:dyDescent="0.3">
      <c r="A103" s="14">
        <f t="shared" si="0"/>
        <v>100</v>
      </c>
      <c r="B103" s="14" t="s">
        <v>127</v>
      </c>
      <c r="D103" s="14">
        <f t="shared" si="1"/>
        <v>100</v>
      </c>
      <c r="E103" s="14" t="s">
        <v>127</v>
      </c>
      <c r="G103" s="14">
        <f t="shared" si="2"/>
        <v>100</v>
      </c>
      <c r="H103" s="14" t="s">
        <v>127</v>
      </c>
    </row>
    <row r="2538" spans="1:2" x14ac:dyDescent="0.3">
      <c r="A2538" s="15"/>
      <c r="B2538" s="15"/>
    </row>
  </sheetData>
  <autoFilter ref="A2:H103" xr:uid="{00000000-0009-0000-0000-000001000000}">
    <filterColumn colId="7">
      <filters>
        <filter val="Refer to HO"/>
      </filters>
    </filterColumn>
  </autoFilter>
  <mergeCells count="3">
    <mergeCell ref="A1:B1"/>
    <mergeCell ref="D1:E1"/>
    <mergeCell ref="G1:H1"/>
  </mergeCells>
  <pageMargins left="0.7" right="0.7" top="0.75" bottom="0.75" header="0.3" footer="0.3"/>
  <pageSetup orientation="portrait" r:id="rId1"/>
  <headerFooter>
    <oddFooter>&amp;L_x000D_&amp;1#&amp;"Calibri"&amp;10&amp;K000000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800000"/>
  </sheetPr>
  <dimension ref="A1:J65"/>
  <sheetViews>
    <sheetView showGridLines="0" view="pageBreakPreview" zoomScaleNormal="100" zoomScaleSheetLayoutView="100" workbookViewId="0">
      <selection activeCell="A65" sqref="A65:H65"/>
    </sheetView>
  </sheetViews>
  <sheetFormatPr defaultColWidth="7.44140625" defaultRowHeight="13.8" x14ac:dyDescent="0.3"/>
  <cols>
    <col min="1" max="1" width="18.44140625" style="56" customWidth="1"/>
    <col min="2" max="2" width="20.33203125" style="56" customWidth="1"/>
    <col min="3" max="3" width="19.44140625" style="56" customWidth="1"/>
    <col min="4" max="7" width="18.44140625" style="56" customWidth="1"/>
    <col min="8" max="8" width="17" style="56" customWidth="1"/>
    <col min="9" max="9" width="3.33203125" style="50" customWidth="1"/>
    <col min="10" max="30" width="0" style="50" hidden="1" customWidth="1"/>
    <col min="31" max="32" width="7.44140625" style="50"/>
    <col min="33" max="33" width="15.109375" style="50" bestFit="1" customWidth="1"/>
    <col min="34" max="16384" width="7.44140625" style="50"/>
  </cols>
  <sheetData>
    <row r="1" spans="1:10" ht="59.25" customHeight="1" x14ac:dyDescent="0.3">
      <c r="A1" s="312"/>
      <c r="B1" s="313"/>
      <c r="C1" s="313"/>
      <c r="D1" s="313"/>
      <c r="E1" s="313"/>
      <c r="F1" s="313"/>
      <c r="G1" s="313"/>
      <c r="H1" s="314"/>
    </row>
    <row r="2" spans="1:10" ht="19.5" customHeight="1" x14ac:dyDescent="0.3">
      <c r="A2" s="65" t="s">
        <v>74</v>
      </c>
      <c r="B2" s="324">
        <f ca="1">TODAY()</f>
        <v>46024</v>
      </c>
      <c r="C2" s="324"/>
      <c r="D2" s="324"/>
      <c r="E2" s="66"/>
      <c r="F2" s="66"/>
      <c r="G2" s="67" t="s">
        <v>166</v>
      </c>
      <c r="H2" s="68" t="str">
        <f>'Census List'!L20</f>
        <v xml:space="preserve">Head Office - </v>
      </c>
    </row>
    <row r="3" spans="1:10" ht="19.5" customHeight="1" x14ac:dyDescent="0.3">
      <c r="A3" s="69" t="s">
        <v>165</v>
      </c>
      <c r="B3" s="315">
        <f>'Census List'!D32</f>
        <v>0</v>
      </c>
      <c r="C3" s="315"/>
      <c r="D3" s="315"/>
      <c r="E3" s="315"/>
      <c r="F3" s="315"/>
      <c r="G3" s="315"/>
      <c r="H3" s="316"/>
    </row>
    <row r="4" spans="1:10" ht="8.25" customHeight="1" x14ac:dyDescent="0.3">
      <c r="A4" s="317"/>
      <c r="B4" s="318"/>
      <c r="C4" s="318"/>
      <c r="D4" s="318"/>
      <c r="E4" s="318"/>
      <c r="F4" s="318"/>
      <c r="G4" s="318"/>
      <c r="H4" s="319"/>
    </row>
    <row r="5" spans="1:10" ht="19.5" customHeight="1" x14ac:dyDescent="0.3">
      <c r="A5" s="320" t="s">
        <v>130</v>
      </c>
      <c r="B5" s="321"/>
      <c r="C5" s="321"/>
      <c r="D5" s="321"/>
      <c r="E5" s="321"/>
      <c r="F5" s="322" t="str">
        <f>'Census List'!D33</f>
        <v>Healthnet</v>
      </c>
      <c r="G5" s="322"/>
      <c r="H5" s="323"/>
    </row>
    <row r="6" spans="1:10" ht="216" customHeight="1" x14ac:dyDescent="0.3">
      <c r="A6" s="325" t="s">
        <v>75</v>
      </c>
      <c r="B6" s="326"/>
      <c r="C6" s="326"/>
      <c r="D6" s="326"/>
      <c r="E6" s="326"/>
      <c r="F6" s="326"/>
      <c r="G6" s="326"/>
      <c r="H6" s="327"/>
    </row>
    <row r="7" spans="1:10" ht="18" customHeight="1" x14ac:dyDescent="0.3">
      <c r="A7" s="328" t="s">
        <v>114</v>
      </c>
      <c r="B7" s="329"/>
      <c r="C7" s="329"/>
      <c r="D7" s="333" t="str">
        <f>'Census List'!D34</f>
        <v>Classic Plan-2</v>
      </c>
      <c r="E7" s="334"/>
      <c r="F7" s="334"/>
      <c r="G7" s="334"/>
      <c r="H7" s="140" t="str">
        <f>IF('Census List'!D35="Dubai","",'Census List'!P12)</f>
        <v/>
      </c>
    </row>
    <row r="8" spans="1:10" ht="20.100000000000001" customHeight="1" x14ac:dyDescent="0.3">
      <c r="A8" s="330" t="s">
        <v>76</v>
      </c>
      <c r="B8" s="331"/>
      <c r="C8" s="331"/>
      <c r="D8" s="331"/>
      <c r="E8" s="331"/>
      <c r="F8" s="331"/>
      <c r="G8" s="331"/>
      <c r="H8" s="332"/>
    </row>
    <row r="9" spans="1:10" ht="15" customHeight="1" x14ac:dyDescent="0.3">
      <c r="A9" s="303" t="s">
        <v>77</v>
      </c>
      <c r="B9" s="308"/>
      <c r="C9" s="308"/>
      <c r="D9" s="309" t="str">
        <f>VLOOKUP($D$7,'TOB IN PUT'!A2:S17,3,0)</f>
        <v>AED 250,000</v>
      </c>
      <c r="E9" s="310"/>
      <c r="F9" s="310"/>
      <c r="G9" s="310"/>
      <c r="H9" s="311"/>
      <c r="J9" s="50" t="str">
        <f>D22</f>
        <v>Covered on Reimbursement up to AED 250 per night and a maximum of 10 nights.
The Cash Indemnity claim must be submitted within 15 days after discharge from the hospital with a proof of hospitalization including a discharge summary.</v>
      </c>
    </row>
    <row r="10" spans="1:10" ht="26.1" customHeight="1" x14ac:dyDescent="0.3">
      <c r="A10" s="285" t="s">
        <v>79</v>
      </c>
      <c r="B10" s="286"/>
      <c r="C10" s="286"/>
      <c r="D10" s="272" t="str">
        <f>VLOOKUP($D$7,'TOB IN PUT'!$A$2:$S$17,4,0)</f>
        <v>Worldwide Excluding USA and Canada</v>
      </c>
      <c r="E10" s="256"/>
      <c r="F10" s="256"/>
      <c r="G10" s="256"/>
      <c r="H10" s="257"/>
    </row>
    <row r="11" spans="1:10" ht="30.75" customHeight="1" x14ac:dyDescent="0.3">
      <c r="A11" s="285" t="s">
        <v>80</v>
      </c>
      <c r="B11" s="286"/>
      <c r="C11" s="286"/>
      <c r="D11" s="272" t="str">
        <f>VLOOKUP($D$7,'TOB IN PUT'!$A$2:$S$17,5,0)</f>
        <v>HN Standard Plus (Additional 10% Co-pay applicable on all OP Services excluding Pharmacy at NMC Royal Hosp. Sharjah)</v>
      </c>
      <c r="E11" s="256"/>
      <c r="F11" s="256"/>
      <c r="G11" s="256"/>
      <c r="H11" s="257"/>
      <c r="J11" s="50" t="str">
        <f>D11</f>
        <v>HN Standard Plus (Additional 10% Co-pay applicable on all OP Services excluding Pharmacy at NMC Royal Hosp. Sharjah)</v>
      </c>
    </row>
    <row r="12" spans="1:10" ht="30.75" customHeight="1" x14ac:dyDescent="0.3">
      <c r="A12" s="285" t="s">
        <v>171</v>
      </c>
      <c r="B12" s="276" t="s">
        <v>81</v>
      </c>
      <c r="C12" s="276"/>
      <c r="D12" s="273" t="str">
        <f>IF('Census List'!D35="Dubai","Covered up to a limit of AED 150,000 per member per year","Covered up to a limit of AED 250,000 per member per year")</f>
        <v>Covered up to a limit of AED 150,000 per member per year</v>
      </c>
      <c r="E12" s="273"/>
      <c r="F12" s="273"/>
      <c r="G12" s="273"/>
      <c r="H12" s="274"/>
    </row>
    <row r="13" spans="1:10" ht="89.25" customHeight="1" x14ac:dyDescent="0.3">
      <c r="A13" s="285"/>
      <c r="B13" s="276" t="s">
        <v>106</v>
      </c>
      <c r="C13" s="276"/>
      <c r="D13" s="273" t="s">
        <v>167</v>
      </c>
      <c r="E13" s="273"/>
      <c r="F13" s="273"/>
      <c r="G13" s="273"/>
      <c r="H13" s="274"/>
    </row>
    <row r="14" spans="1:10" ht="17.100000000000001" customHeight="1" x14ac:dyDescent="0.3">
      <c r="A14" s="285" t="s">
        <v>82</v>
      </c>
      <c r="B14" s="286"/>
      <c r="C14" s="286"/>
      <c r="D14" s="273" t="s">
        <v>473</v>
      </c>
      <c r="E14" s="273"/>
      <c r="F14" s="273"/>
      <c r="G14" s="273"/>
      <c r="H14" s="274"/>
    </row>
    <row r="15" spans="1:10" ht="32.25" customHeight="1" x14ac:dyDescent="0.3">
      <c r="A15" s="302" t="s">
        <v>131</v>
      </c>
      <c r="B15" s="276" t="s">
        <v>477</v>
      </c>
      <c r="C15" s="276"/>
      <c r="D15" s="273" t="s">
        <v>161</v>
      </c>
      <c r="E15" s="273"/>
      <c r="F15" s="273"/>
      <c r="G15" s="273"/>
      <c r="H15" s="274"/>
    </row>
    <row r="16" spans="1:10" ht="30.75" customHeight="1" x14ac:dyDescent="0.3">
      <c r="A16" s="303"/>
      <c r="B16" s="276" t="s">
        <v>478</v>
      </c>
      <c r="C16" s="276"/>
      <c r="D16" s="273" t="s">
        <v>132</v>
      </c>
      <c r="E16" s="273"/>
      <c r="F16" s="273"/>
      <c r="G16" s="273"/>
      <c r="H16" s="274"/>
    </row>
    <row r="17" spans="1:10" ht="33" customHeight="1" x14ac:dyDescent="0.3">
      <c r="A17" s="285" t="s">
        <v>83</v>
      </c>
      <c r="B17" s="286"/>
      <c r="C17" s="286"/>
      <c r="D17" s="266" t="s">
        <v>84</v>
      </c>
      <c r="E17" s="267"/>
      <c r="F17" s="267"/>
      <c r="G17" s="267"/>
      <c r="H17" s="268"/>
    </row>
    <row r="18" spans="1:10" ht="51.75" customHeight="1" x14ac:dyDescent="0.3">
      <c r="A18" s="269" t="s">
        <v>479</v>
      </c>
      <c r="B18" s="270"/>
      <c r="C18" s="271"/>
      <c r="D18" s="273" t="s">
        <v>480</v>
      </c>
      <c r="E18" s="273"/>
      <c r="F18" s="273"/>
      <c r="G18" s="273"/>
      <c r="H18" s="274"/>
    </row>
    <row r="19" spans="1:10" ht="18" customHeight="1" x14ac:dyDescent="0.3">
      <c r="A19" s="304" t="s">
        <v>85</v>
      </c>
      <c r="B19" s="297"/>
      <c r="C19" s="297"/>
      <c r="D19" s="297"/>
      <c r="E19" s="297"/>
      <c r="F19" s="297"/>
      <c r="G19" s="297"/>
      <c r="H19" s="298"/>
    </row>
    <row r="20" spans="1:10" ht="17.100000000000001" customHeight="1" x14ac:dyDescent="0.3">
      <c r="A20" s="285" t="s">
        <v>86</v>
      </c>
      <c r="B20" s="286"/>
      <c r="C20" s="286"/>
      <c r="D20" s="272" t="s">
        <v>476</v>
      </c>
      <c r="E20" s="256"/>
      <c r="F20" s="256"/>
      <c r="G20" s="256"/>
      <c r="H20" s="257"/>
      <c r="J20" s="50" t="str">
        <f>D20</f>
        <v>Private</v>
      </c>
    </row>
    <row r="21" spans="1:10" ht="30" customHeight="1" x14ac:dyDescent="0.3">
      <c r="A21" s="285" t="s">
        <v>512</v>
      </c>
      <c r="B21" s="286"/>
      <c r="C21" s="286"/>
      <c r="D21" s="272" t="s">
        <v>103</v>
      </c>
      <c r="E21" s="256"/>
      <c r="F21" s="256"/>
      <c r="G21" s="256"/>
      <c r="H21" s="257"/>
    </row>
    <row r="22" spans="1:10" ht="43.5" customHeight="1" x14ac:dyDescent="0.3">
      <c r="A22" s="285" t="s">
        <v>133</v>
      </c>
      <c r="B22" s="286"/>
      <c r="C22" s="286"/>
      <c r="D22" s="272" t="str">
        <f>VLOOKUP($D$7,'TOB IN PUT'!$A$2:$S$17,11,0)</f>
        <v>Covered on Reimbursement up to AED 250 per night and a maximum of 10 nights.
The Cash Indemnity claim must be submitted within 15 days after discharge from the hospital with a proof of hospitalization including a discharge summary.</v>
      </c>
      <c r="E22" s="256"/>
      <c r="F22" s="256"/>
      <c r="G22" s="256"/>
      <c r="H22" s="257"/>
    </row>
    <row r="23" spans="1:10" ht="23.1" customHeight="1" x14ac:dyDescent="0.3">
      <c r="A23" s="285" t="s">
        <v>87</v>
      </c>
      <c r="B23" s="286"/>
      <c r="C23" s="286"/>
      <c r="D23" s="272" t="str">
        <f>VLOOKUP($D$7,'TOB IN PUT'!$A$2:$S$17,6,0)</f>
        <v>Covered up to AED 300 / night</v>
      </c>
      <c r="E23" s="256"/>
      <c r="F23" s="256"/>
      <c r="G23" s="256"/>
      <c r="H23" s="257"/>
    </row>
    <row r="24" spans="1:10" ht="45.75" customHeight="1" x14ac:dyDescent="0.3">
      <c r="A24" s="275" t="s">
        <v>88</v>
      </c>
      <c r="B24" s="276"/>
      <c r="C24" s="276"/>
      <c r="D24" s="272" t="str">
        <f>VLOOKUP($D$7,'TOB IN PUT'!$A$2:$S$17,6,0)</f>
        <v>Covered up to AED 300 / night</v>
      </c>
      <c r="E24" s="256"/>
      <c r="F24" s="256"/>
      <c r="G24" s="256"/>
      <c r="H24" s="257"/>
    </row>
    <row r="25" spans="1:10" ht="32.1" customHeight="1" x14ac:dyDescent="0.3">
      <c r="A25" s="275" t="s">
        <v>89</v>
      </c>
      <c r="B25" s="276"/>
      <c r="C25" s="276"/>
      <c r="D25" s="273" t="s">
        <v>73</v>
      </c>
      <c r="E25" s="273"/>
      <c r="F25" s="273"/>
      <c r="G25" s="273"/>
      <c r="H25" s="274"/>
    </row>
    <row r="26" spans="1:10" ht="18" customHeight="1" x14ac:dyDescent="0.3">
      <c r="A26" s="296" t="s">
        <v>90</v>
      </c>
      <c r="B26" s="297"/>
      <c r="C26" s="297"/>
      <c r="D26" s="297"/>
      <c r="E26" s="297"/>
      <c r="F26" s="297"/>
      <c r="G26" s="297"/>
      <c r="H26" s="298"/>
    </row>
    <row r="27" spans="1:10" ht="46.5" customHeight="1" x14ac:dyDescent="0.3">
      <c r="A27" s="275" t="s">
        <v>91</v>
      </c>
      <c r="B27" s="276"/>
      <c r="C27" s="276"/>
      <c r="D27" s="305" t="str">
        <f>IF('Census List'!D35="Dubai",VLOOKUP('TOB '!$D$7,'TOB IN PUT'!A2:H11,8,0),VLOOKUP($D$7,'TOB IN PUT'!A12:H17,8,0))</f>
        <v xml:space="preserve">20% up to AED 50/- </v>
      </c>
      <c r="E27" s="306"/>
      <c r="F27" s="306"/>
      <c r="G27" s="306"/>
      <c r="H27" s="307"/>
      <c r="J27" s="50">
        <f>F27</f>
        <v>0</v>
      </c>
    </row>
    <row r="28" spans="1:10" ht="24.75" customHeight="1" x14ac:dyDescent="0.3">
      <c r="A28" s="285" t="s">
        <v>92</v>
      </c>
      <c r="B28" s="286"/>
      <c r="C28" s="286"/>
      <c r="D28" s="272" t="str">
        <f>VLOOKUP($D$7,'TOB IN PUT'!$A$2:$S$17,10,0)</f>
        <v>100% Covered</v>
      </c>
      <c r="E28" s="256"/>
      <c r="F28" s="256"/>
      <c r="G28" s="256"/>
      <c r="H28" s="257"/>
      <c r="J28" s="50" t="str">
        <f>D28</f>
        <v>100% Covered</v>
      </c>
    </row>
    <row r="29" spans="1:10" ht="36" customHeight="1" x14ac:dyDescent="0.3">
      <c r="A29" s="275" t="s">
        <v>93</v>
      </c>
      <c r="B29" s="276"/>
      <c r="C29" s="276"/>
      <c r="D29" s="272" t="str">
        <f>VLOOKUP($D$7,'TOB IN PUT'!$A$2:$S$17,10,0)</f>
        <v>100% Covered</v>
      </c>
      <c r="E29" s="256"/>
      <c r="F29" s="256"/>
      <c r="G29" s="256"/>
      <c r="H29" s="257"/>
    </row>
    <row r="30" spans="1:10" ht="31.5" customHeight="1" x14ac:dyDescent="0.3">
      <c r="A30" s="275" t="s">
        <v>94</v>
      </c>
      <c r="B30" s="276"/>
      <c r="C30" s="276"/>
      <c r="D30" s="272" t="str">
        <f>VLOOKUP($D$7,'TOB IN PUT'!$A$2:$S$17,12,0)</f>
        <v>20 sessions per member per annum</v>
      </c>
      <c r="E30" s="256"/>
      <c r="F30" s="256"/>
      <c r="G30" s="256"/>
      <c r="H30" s="257"/>
      <c r="J30" s="50" t="str">
        <f>D30</f>
        <v>20 sessions per member per annum</v>
      </c>
    </row>
    <row r="31" spans="1:10" ht="24.9" customHeight="1" x14ac:dyDescent="0.3">
      <c r="A31" s="285" t="s">
        <v>95</v>
      </c>
      <c r="B31" s="286"/>
      <c r="C31" s="286"/>
      <c r="D31" s="272" t="str">
        <f>VLOOKUP($D$7,'TOB IN PUT'!$A$2:$S$17,9,0)</f>
        <v>Covered up to AED 10,000 with Nil Co Insurance
(Branded)</v>
      </c>
      <c r="E31" s="256"/>
      <c r="F31" s="256"/>
      <c r="G31" s="256"/>
      <c r="H31" s="257"/>
      <c r="J31" s="50" t="str">
        <f>D31</f>
        <v>Covered up to AED 10,000 with Nil Co Insurance
(Branded)</v>
      </c>
    </row>
    <row r="32" spans="1:10" ht="18" customHeight="1" x14ac:dyDescent="0.3">
      <c r="A32" s="296" t="s">
        <v>96</v>
      </c>
      <c r="B32" s="297"/>
      <c r="C32" s="297"/>
      <c r="D32" s="297"/>
      <c r="E32" s="297"/>
      <c r="F32" s="297"/>
      <c r="G32" s="297"/>
      <c r="H32" s="298"/>
    </row>
    <row r="33" spans="1:8" ht="39" customHeight="1" x14ac:dyDescent="0.3">
      <c r="A33" s="285" t="s">
        <v>97</v>
      </c>
      <c r="B33" s="286"/>
      <c r="C33" s="286"/>
      <c r="D33" s="273" t="str">
        <f>IF('Census List'!D35="Dubai"," Essential vaccinations and inoculations for newborns and children as stipulated in the DHAs policies and its updates in the assigned facilities (currently the same as Federal MOH) are covered ","Covered as per DOH list")</f>
        <v xml:space="preserve"> Essential vaccinations and inoculations for newborns and children as stipulated in the DHAs policies and its updates in the assigned facilities (currently the same as Federal MOH) are covered </v>
      </c>
      <c r="E33" s="273"/>
      <c r="F33" s="273"/>
      <c r="G33" s="273"/>
      <c r="H33" s="274"/>
    </row>
    <row r="34" spans="1:8" ht="37.5" customHeight="1" x14ac:dyDescent="0.3">
      <c r="A34" s="285" t="s">
        <v>501</v>
      </c>
      <c r="B34" s="286"/>
      <c r="C34" s="286"/>
      <c r="D34" s="273" t="str">
        <f>IF('Census List'!D35="Dubai"," Covered as per terms, conditions and exclusions of the program defined by DHA ","Not Covered")</f>
        <v xml:space="preserve"> Covered as per terms, conditions and exclusions of the program defined by DHA </v>
      </c>
      <c r="E34" s="273"/>
      <c r="F34" s="273"/>
      <c r="G34" s="273"/>
      <c r="H34" s="274"/>
    </row>
    <row r="35" spans="1:8" ht="23.1" customHeight="1" x14ac:dyDescent="0.3">
      <c r="A35" s="285" t="s">
        <v>98</v>
      </c>
      <c r="B35" s="286"/>
      <c r="C35" s="286"/>
      <c r="D35" s="273" t="str">
        <f>IF('Census List'!D35="Dubai"," Covered as per terms, conditions and exclusions of the program defined by DHA ","Not Covered")</f>
        <v xml:space="preserve"> Covered as per terms, conditions and exclusions of the program defined by DHA </v>
      </c>
      <c r="E35" s="273"/>
      <c r="F35" s="273"/>
      <c r="G35" s="273"/>
      <c r="H35" s="274"/>
    </row>
    <row r="36" spans="1:8" ht="21.75" customHeight="1" x14ac:dyDescent="0.3">
      <c r="A36" s="285" t="s">
        <v>99</v>
      </c>
      <c r="B36" s="286"/>
      <c r="C36" s="286"/>
      <c r="D36" s="273" t="str">
        <f>IF('Census List'!D35="Dubai","Covered once per annum“Limited to the cost of the vaccine and its administration only”","Not Covered")</f>
        <v>Covered once per annum“Limited to the cost of the vaccine and its administration only”</v>
      </c>
      <c r="E36" s="273"/>
      <c r="F36" s="273"/>
      <c r="G36" s="273"/>
      <c r="H36" s="274"/>
    </row>
    <row r="37" spans="1:8" ht="37.5" customHeight="1" x14ac:dyDescent="0.3">
      <c r="A37" s="285" t="s">
        <v>548</v>
      </c>
      <c r="B37" s="286"/>
      <c r="C37" s="286"/>
      <c r="D37" s="273" t="s">
        <v>549</v>
      </c>
      <c r="E37" s="273"/>
      <c r="F37" s="273"/>
      <c r="G37" s="273"/>
      <c r="H37" s="274"/>
    </row>
    <row r="38" spans="1:8" ht="15.9" customHeight="1" x14ac:dyDescent="0.3">
      <c r="A38" s="296" t="s">
        <v>100</v>
      </c>
      <c r="B38" s="297"/>
      <c r="C38" s="297"/>
      <c r="D38" s="297"/>
      <c r="E38" s="297"/>
      <c r="F38" s="297"/>
      <c r="G38" s="297"/>
      <c r="H38" s="298"/>
    </row>
    <row r="39" spans="1:8" ht="66" customHeight="1" x14ac:dyDescent="0.3">
      <c r="A39" s="275" t="s">
        <v>101</v>
      </c>
      <c r="B39" s="276"/>
      <c r="C39" s="276"/>
      <c r="D39" s="273" t="str">
        <f>IF('Census List'!D35="Dubai"," Subject to 20% coinsurance ","100% covered")</f>
        <v xml:space="preserve"> Subject to 20% coinsurance </v>
      </c>
      <c r="E39" s="273"/>
      <c r="F39" s="273"/>
      <c r="G39" s="273"/>
      <c r="H39" s="274"/>
    </row>
    <row r="40" spans="1:8" ht="79.5" customHeight="1" x14ac:dyDescent="0.3">
      <c r="A40" s="275" t="s">
        <v>102</v>
      </c>
      <c r="B40" s="276"/>
      <c r="C40" s="276"/>
      <c r="D40" s="273" t="str">
        <f>IF('Census List'!D35="Dubai"," Subject to 20% coinsurance ","100% covered")</f>
        <v xml:space="preserve"> Subject to 20% coinsurance </v>
      </c>
      <c r="E40" s="273"/>
      <c r="F40" s="273"/>
      <c r="G40" s="273"/>
      <c r="H40" s="274"/>
    </row>
    <row r="41" spans="1:8" ht="40.5" customHeight="1" x14ac:dyDescent="0.3">
      <c r="A41" s="275" t="s">
        <v>513</v>
      </c>
      <c r="B41" s="276"/>
      <c r="C41" s="276"/>
      <c r="D41" s="273" t="str">
        <f>IF('Census List'!D35="Dubai"," Covered as per terms, conditions and exclusions of the program defined by DHA ","Not Covered")</f>
        <v xml:space="preserve"> Covered as per terms, conditions and exclusions of the program defined by DHA </v>
      </c>
      <c r="E41" s="273"/>
      <c r="F41" s="273"/>
      <c r="G41" s="273"/>
      <c r="H41" s="274"/>
    </row>
    <row r="42" spans="1:8" ht="46.5" customHeight="1" x14ac:dyDescent="0.3">
      <c r="A42" s="275" t="s">
        <v>168</v>
      </c>
      <c r="B42" s="276"/>
      <c r="C42" s="276"/>
      <c r="D42" s="273" t="str">
        <f>IF('Census List'!D35="Dubai"," Covered as per terms, conditions and exclusions of the program defined by DHA ","Not Covered")</f>
        <v xml:space="preserve"> Covered as per terms, conditions and exclusions of the program defined by DHA </v>
      </c>
      <c r="E42" s="273"/>
      <c r="F42" s="273"/>
      <c r="G42" s="273"/>
      <c r="H42" s="274"/>
    </row>
    <row r="43" spans="1:8" ht="38.25" customHeight="1" x14ac:dyDescent="0.3">
      <c r="A43" s="263" t="s">
        <v>484</v>
      </c>
      <c r="B43" s="264"/>
      <c r="C43" s="265"/>
      <c r="D43" s="266" t="s">
        <v>103</v>
      </c>
      <c r="E43" s="267"/>
      <c r="F43" s="267"/>
      <c r="G43" s="267"/>
      <c r="H43" s="268"/>
    </row>
    <row r="44" spans="1:8" ht="54" customHeight="1" x14ac:dyDescent="0.3">
      <c r="A44" s="275" t="s">
        <v>485</v>
      </c>
      <c r="B44" s="276"/>
      <c r="C44" s="276"/>
      <c r="D44" s="272" t="str">
        <f>VLOOKUP($D$7,'TOB IN PUT'!$A$2:$S$17,18,0)</f>
        <v>Covered up to AED 2,000/- with 20% Co Insurance</v>
      </c>
      <c r="E44" s="256"/>
      <c r="F44" s="256"/>
      <c r="G44" s="256"/>
      <c r="H44" s="257"/>
    </row>
    <row r="45" spans="1:8" ht="41.25" customHeight="1" x14ac:dyDescent="0.3">
      <c r="A45" s="275" t="s">
        <v>104</v>
      </c>
      <c r="B45" s="276"/>
      <c r="C45" s="276"/>
      <c r="D45" s="272" t="str">
        <f>VLOOKUP($D$7,'TOB IN PUT'!$A$2:$S$17,19,0)</f>
        <v>Covered up to AED 2,000/- with 20% Coins</v>
      </c>
      <c r="E45" s="256"/>
      <c r="F45" s="256"/>
      <c r="G45" s="256"/>
      <c r="H45" s="257"/>
    </row>
    <row r="46" spans="1:8" ht="54" customHeight="1" x14ac:dyDescent="0.3">
      <c r="A46" s="277" t="s">
        <v>508</v>
      </c>
      <c r="B46" s="278"/>
      <c r="C46" s="278"/>
      <c r="D46" s="273" t="str">
        <f>IF('Census List'!D35="Dubai"," Covered up to AED 150,000/- ","Covered up to AED 250,000/-")</f>
        <v xml:space="preserve"> Covered up to AED 150,000/- </v>
      </c>
      <c r="E46" s="273"/>
      <c r="F46" s="273"/>
      <c r="G46" s="273"/>
      <c r="H46" s="274"/>
    </row>
    <row r="47" spans="1:8" ht="28.5" customHeight="1" x14ac:dyDescent="0.3">
      <c r="A47" s="291" t="s">
        <v>596</v>
      </c>
      <c r="B47" s="292"/>
      <c r="C47" s="292"/>
      <c r="D47" s="272" t="str">
        <f>VLOOKUP($D$7,'TOB IN PUT'!$A$2:$S$17,13,0)</f>
        <v>Covered up to Maximum AED. 15,000 per person per annum 
(Settled on Reimbursement basis with no co-pay)</v>
      </c>
      <c r="E47" s="256"/>
      <c r="F47" s="256"/>
      <c r="G47" s="256"/>
      <c r="H47" s="257"/>
    </row>
    <row r="48" spans="1:8" ht="19.5" customHeight="1" x14ac:dyDescent="0.3">
      <c r="A48" s="285" t="s">
        <v>134</v>
      </c>
      <c r="B48" s="276"/>
      <c r="C48" s="276"/>
      <c r="D48" s="272" t="str">
        <f>VLOOKUP($D$7,'TOB IN PUT'!$A$2:$S$17,7,0)</f>
        <v xml:space="preserve">Covered up to 10 weeks (on reimbusement) </v>
      </c>
      <c r="E48" s="256"/>
      <c r="F48" s="256"/>
      <c r="G48" s="256"/>
      <c r="H48" s="257"/>
    </row>
    <row r="49" spans="1:10" ht="30" customHeight="1" x14ac:dyDescent="0.3">
      <c r="A49" s="269" t="s">
        <v>486</v>
      </c>
      <c r="B49" s="270"/>
      <c r="C49" s="271"/>
      <c r="D49" s="272" t="s">
        <v>487</v>
      </c>
      <c r="E49" s="256"/>
      <c r="F49" s="256"/>
      <c r="G49" s="256"/>
      <c r="H49" s="257"/>
    </row>
    <row r="50" spans="1:10" ht="42" customHeight="1" x14ac:dyDescent="0.3">
      <c r="A50" s="269" t="s">
        <v>488</v>
      </c>
      <c r="B50" s="270"/>
      <c r="C50" s="271"/>
      <c r="D50" s="273" t="str">
        <f>IF('Census List'!D35="Dubai"," Not Covered ","100% covered")</f>
        <v xml:space="preserve"> Not Covered </v>
      </c>
      <c r="E50" s="273"/>
      <c r="F50" s="273"/>
      <c r="G50" s="273"/>
      <c r="H50" s="274"/>
    </row>
    <row r="51" spans="1:10" ht="42" customHeight="1" x14ac:dyDescent="0.3">
      <c r="A51" s="279" t="s">
        <v>556</v>
      </c>
      <c r="B51" s="280"/>
      <c r="C51" s="281"/>
      <c r="D51" s="273" t="str">
        <f>IF('Census List'!D35="Dubai"," Covered up to AED 60,000/- with 20% Co Insurance on all OP Services (Coverage is provided in accordance with the terms, conditions, and exclusions defined by DHA and is applicable exclusively to Dubai visa holders only.)","Not Covered")</f>
        <v xml:space="preserve"> Covered up to AED 60,000/- with 20% Co Insurance on all OP Services (Coverage is provided in accordance with the terms, conditions, and exclusions defined by DHA and is applicable exclusively to Dubai visa holders only.)</v>
      </c>
      <c r="E51" s="273"/>
      <c r="F51" s="273"/>
      <c r="G51" s="273"/>
      <c r="H51" s="274"/>
    </row>
    <row r="52" spans="1:10" ht="42" customHeight="1" x14ac:dyDescent="0.3">
      <c r="A52" s="279" t="s">
        <v>557</v>
      </c>
      <c r="B52" s="280"/>
      <c r="C52" s="281"/>
      <c r="D52" s="273" t="str">
        <f>IF('Census List'!D35="Dubai"," Covered up to AED 800/- with 30% Co Insurance (Coverage is provided in accordance with the terms, conditions, and exclusions defined by DHA and is applicable exclusively to Dubai visa holders only.)","Not Covered")</f>
        <v xml:space="preserve"> Covered up to AED 800/- with 30% Co Insurance (Coverage is provided in accordance with the terms, conditions, and exclusions defined by DHA and is applicable exclusively to Dubai visa holders only.)</v>
      </c>
      <c r="E52" s="273"/>
      <c r="F52" s="273"/>
      <c r="G52" s="273"/>
      <c r="H52" s="274"/>
    </row>
    <row r="53" spans="1:10" ht="21.75" customHeight="1" x14ac:dyDescent="0.3">
      <c r="A53" s="285" t="s">
        <v>135</v>
      </c>
      <c r="B53" s="276"/>
      <c r="C53" s="276"/>
      <c r="D53" s="287" t="s">
        <v>170</v>
      </c>
      <c r="E53" s="287"/>
      <c r="F53" s="287"/>
      <c r="G53" s="287"/>
      <c r="H53" s="288"/>
    </row>
    <row r="54" spans="1:10" ht="200.25" customHeight="1" x14ac:dyDescent="0.3">
      <c r="A54" s="289" t="str">
        <f>VLOOKUP('Census List'!D36,'TOB IN PUT'!D20:E21,2,0)</f>
        <v>Dental Benefit: 
•Routine oral examination and routine cleaning of teeth. Once only per policy year.
•Extraction (removal of teeth) on the recommendation of a dentist.
•Filling of decayed or fractured teeth on the recommendation of a dentist.
•Dental x-rays when needed to diagnose and treat a covered dental condition.
•General anesthetics, when medically necessary and in connection with a covered dental procedure.
•Endodontic treatment, including root canal therapy.
•Surgical Interventions 
•Prescribed Drugs related to the above treatment</v>
      </c>
      <c r="B54" s="290"/>
      <c r="C54" s="290"/>
      <c r="D54" s="272" t="str">
        <f>IF('Census List'!$D$36="Enhanced",VLOOKUP('Census List'!$D$34,'TOB IN PUT'!A2:U17,17,0),"Covered up to AED 500/- with 30% Co Insurance (Coverage is provided in accordance with the terms, conditions, and exclusions defined by DHA and is applicable exclusively to Dubai visa holders only.)")</f>
        <v>Covered up to AED 2,000/- with 20% Co Insurance</v>
      </c>
      <c r="E54" s="256"/>
      <c r="F54" s="256"/>
      <c r="G54" s="256"/>
      <c r="H54" s="257"/>
      <c r="J54" s="50" t="str">
        <f>D54</f>
        <v>Covered up to AED 2,000/- with 20% Co Insurance</v>
      </c>
    </row>
    <row r="55" spans="1:10" ht="15.9" customHeight="1" x14ac:dyDescent="0.3">
      <c r="A55" s="296" t="s">
        <v>105</v>
      </c>
      <c r="B55" s="297"/>
      <c r="C55" s="297"/>
      <c r="D55" s="297"/>
      <c r="E55" s="297"/>
      <c r="F55" s="297"/>
      <c r="G55" s="297"/>
      <c r="H55" s="298"/>
    </row>
    <row r="56" spans="1:10" ht="79.5" customHeight="1" x14ac:dyDescent="0.3">
      <c r="A56" s="275" t="s">
        <v>107</v>
      </c>
      <c r="B56" s="276"/>
      <c r="C56" s="276"/>
      <c r="D56" s="272" t="str">
        <f>IF('Census List'!$D$35="Dubai",VLOOKUP($D$7,'TOB IN PUT'!A2:S11,16,0),VLOOKUP($D$7,'TOB IN PUT'!A12:S17,16,0))</f>
        <v>Covered with Nil co-insurance up payable by the insured) 
Normal Delivery: Aggregate Limit Per Year: AED.12,500
Medically necessary Cesarean Section, Complications &amp; Medically Necessary Termination: Aggregate Limit Per Year: AED. 15,000/- (Where any condition develops which becomes life threatening to either the mother or the new born, the medically necessary expenses will be covered up to AED 150,000/-)</v>
      </c>
      <c r="E56" s="256"/>
      <c r="F56" s="256"/>
      <c r="G56" s="256"/>
      <c r="H56" s="257"/>
    </row>
    <row r="57" spans="1:10" ht="142.5" customHeight="1" x14ac:dyDescent="0.3">
      <c r="A57" s="285" t="s">
        <v>108</v>
      </c>
      <c r="B57" s="286"/>
      <c r="C57" s="286"/>
      <c r="D57" s="272" t="str">
        <f>IF('Census List'!$D$35="Dubai",VLOOKUP($D$7,'TOB IN PUT'!A2:S11,15,0),VLOOKUP($D$7,'TOB IN PUT'!A12:S17,15,0))</f>
        <v>Covered subject to Nil  coinsurance payable by the insured
maximum 10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v>
      </c>
      <c r="E57" s="256"/>
      <c r="F57" s="256"/>
      <c r="G57" s="256"/>
      <c r="H57" s="257"/>
    </row>
    <row r="58" spans="1:10" ht="59.25" customHeight="1" x14ac:dyDescent="0.3">
      <c r="A58" s="285" t="s">
        <v>109</v>
      </c>
      <c r="B58" s="286"/>
      <c r="C58" s="117" t="s">
        <v>110</v>
      </c>
      <c r="D58" s="273" t="str">
        <f>IF('Census List'!$D$35="Dubai",VLOOKUP($D$7,'TOB IN PUT'!A2:U11,20,0),VLOOKUP($D$7,'TOB IN PUT'!A12:U17,20,0))</f>
        <v>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Covered under the mother’s card in event of Hospitalization, up to AED.150,000 PPPY</v>
      </c>
      <c r="E58" s="273"/>
      <c r="F58" s="273"/>
      <c r="G58" s="273"/>
      <c r="H58" s="274"/>
    </row>
    <row r="59" spans="1:10" ht="78" customHeight="1" x14ac:dyDescent="0.3">
      <c r="A59" s="285"/>
      <c r="B59" s="286"/>
      <c r="C59" s="117" t="s">
        <v>81</v>
      </c>
      <c r="D59" s="266" t="str">
        <f>IF('Census List'!$D$35="Dubai",VLOOKUP($D$7,'TOB IN PUT'!A2:U11,21,0),VLOOKUP($D$7,'TOB IN PUT'!A12:U17,21,0))</f>
        <v>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 for 30 days from birth. BCG, Hepatitis B and neo-natal screening tests (Phenylketonuria (PKU), Congenital Hypothyroidism, sickle cell screening, congenital adrenal hyperplasia)</v>
      </c>
      <c r="E59" s="267"/>
      <c r="F59" s="267"/>
      <c r="G59" s="267"/>
      <c r="H59" s="268"/>
    </row>
    <row r="60" spans="1:10" ht="16.5" customHeight="1" x14ac:dyDescent="0.3">
      <c r="A60" s="299" t="s">
        <v>541</v>
      </c>
      <c r="B60" s="300"/>
      <c r="C60" s="300"/>
      <c r="D60" s="300"/>
      <c r="E60" s="300"/>
      <c r="F60" s="300"/>
      <c r="G60" s="300"/>
      <c r="H60" s="301"/>
    </row>
    <row r="61" spans="1:10" ht="118.5" customHeight="1" x14ac:dyDescent="0.3">
      <c r="A61" s="285" t="s">
        <v>542</v>
      </c>
      <c r="B61" s="276"/>
      <c r="C61" s="276"/>
      <c r="D61" s="254" t="s">
        <v>545</v>
      </c>
      <c r="E61" s="255"/>
      <c r="F61" s="256"/>
      <c r="G61" s="256"/>
      <c r="H61" s="257"/>
    </row>
    <row r="62" spans="1:10" ht="66" customHeight="1" thickBot="1" x14ac:dyDescent="0.35">
      <c r="A62" s="258" t="s">
        <v>543</v>
      </c>
      <c r="B62" s="259"/>
      <c r="C62" s="259"/>
      <c r="D62" s="260" t="s">
        <v>544</v>
      </c>
      <c r="E62" s="261"/>
      <c r="F62" s="261"/>
      <c r="G62" s="261"/>
      <c r="H62" s="262"/>
    </row>
    <row r="63" spans="1:10" ht="276" customHeight="1" x14ac:dyDescent="0.3">
      <c r="A63" s="293" t="s">
        <v>111</v>
      </c>
      <c r="B63" s="294"/>
      <c r="C63" s="294"/>
      <c r="D63" s="294"/>
      <c r="E63" s="294"/>
      <c r="F63" s="294"/>
      <c r="G63" s="294"/>
      <c r="H63" s="295"/>
    </row>
    <row r="64" spans="1:10" ht="12.75" customHeight="1" x14ac:dyDescent="0.3">
      <c r="A64" s="114"/>
      <c r="B64" s="115"/>
      <c r="C64" s="115"/>
      <c r="D64" s="115"/>
      <c r="E64" s="115"/>
      <c r="F64" s="115"/>
      <c r="G64" s="115"/>
      <c r="H64" s="116"/>
    </row>
    <row r="65" spans="1:8" ht="126.75" customHeight="1" thickBot="1" x14ac:dyDescent="0.35">
      <c r="A65" s="282" t="s">
        <v>164</v>
      </c>
      <c r="B65" s="283"/>
      <c r="C65" s="283"/>
      <c r="D65" s="283"/>
      <c r="E65" s="283"/>
      <c r="F65" s="283"/>
      <c r="G65" s="283"/>
      <c r="H65" s="284"/>
    </row>
  </sheetData>
  <sheetProtection algorithmName="SHA-512" hashValue="nL5Zbnk8Ktt+QQZyURYzuPoksduDSa44TcX4TaCF1GdJqK7ha06rpRugpAD+HbBxMuoLhGcMt7Xb5xB3/thFoA==" saltValue="b5CI2Fcjgqf0CFqtfsjYjQ==" spinCount="100000" sheet="1" objects="1" scenarios="1"/>
  <mergeCells count="115">
    <mergeCell ref="D21:H21"/>
    <mergeCell ref="A9:C9"/>
    <mergeCell ref="D9:H9"/>
    <mergeCell ref="A1:H1"/>
    <mergeCell ref="B3:H3"/>
    <mergeCell ref="A4:H4"/>
    <mergeCell ref="A5:E5"/>
    <mergeCell ref="F5:H5"/>
    <mergeCell ref="B2:D2"/>
    <mergeCell ref="A6:H6"/>
    <mergeCell ref="A7:C7"/>
    <mergeCell ref="A8:H8"/>
    <mergeCell ref="D7:G7"/>
    <mergeCell ref="A10:C10"/>
    <mergeCell ref="A11:C11"/>
    <mergeCell ref="A12:A13"/>
    <mergeCell ref="B12:C12"/>
    <mergeCell ref="D12:H12"/>
    <mergeCell ref="B13:C13"/>
    <mergeCell ref="D13:H13"/>
    <mergeCell ref="D10:H10"/>
    <mergeCell ref="D11:H11"/>
    <mergeCell ref="A28:C28"/>
    <mergeCell ref="D28:H28"/>
    <mergeCell ref="D15:H15"/>
    <mergeCell ref="D16:H16"/>
    <mergeCell ref="D18:H18"/>
    <mergeCell ref="A15:A16"/>
    <mergeCell ref="A17:C17"/>
    <mergeCell ref="A18:C18"/>
    <mergeCell ref="D17:H17"/>
    <mergeCell ref="A19:H19"/>
    <mergeCell ref="A20:C20"/>
    <mergeCell ref="D20:H20"/>
    <mergeCell ref="A22:C22"/>
    <mergeCell ref="D22:H22"/>
    <mergeCell ref="A23:C23"/>
    <mergeCell ref="D23:H23"/>
    <mergeCell ref="A24:C24"/>
    <mergeCell ref="D24:H24"/>
    <mergeCell ref="A25:C25"/>
    <mergeCell ref="D25:H25"/>
    <mergeCell ref="A26:H26"/>
    <mergeCell ref="A27:C27"/>
    <mergeCell ref="D27:H27"/>
    <mergeCell ref="A21:C21"/>
    <mergeCell ref="A35:C35"/>
    <mergeCell ref="D35:H35"/>
    <mergeCell ref="A29:C29"/>
    <mergeCell ref="D29:H29"/>
    <mergeCell ref="A30:C30"/>
    <mergeCell ref="D30:H30"/>
    <mergeCell ref="A31:C31"/>
    <mergeCell ref="D31:H31"/>
    <mergeCell ref="A32:H32"/>
    <mergeCell ref="A33:C33"/>
    <mergeCell ref="D33:H33"/>
    <mergeCell ref="A34:C34"/>
    <mergeCell ref="D34:H34"/>
    <mergeCell ref="A41:C41"/>
    <mergeCell ref="D41:H41"/>
    <mergeCell ref="A42:C42"/>
    <mergeCell ref="D42:H42"/>
    <mergeCell ref="A36:C36"/>
    <mergeCell ref="D36:H36"/>
    <mergeCell ref="A38:H38"/>
    <mergeCell ref="A39:C39"/>
    <mergeCell ref="D39:H39"/>
    <mergeCell ref="A40:C40"/>
    <mergeCell ref="D40:H40"/>
    <mergeCell ref="A37:C37"/>
    <mergeCell ref="D37:H37"/>
    <mergeCell ref="A65:H65"/>
    <mergeCell ref="A14:C14"/>
    <mergeCell ref="D14:H14"/>
    <mergeCell ref="B15:C15"/>
    <mergeCell ref="B16:C16"/>
    <mergeCell ref="A56:C56"/>
    <mergeCell ref="D56:H56"/>
    <mergeCell ref="A57:C57"/>
    <mergeCell ref="D57:H57"/>
    <mergeCell ref="A58:B59"/>
    <mergeCell ref="D58:H58"/>
    <mergeCell ref="D59:H59"/>
    <mergeCell ref="A53:C53"/>
    <mergeCell ref="D53:H53"/>
    <mergeCell ref="A54:C54"/>
    <mergeCell ref="D47:H47"/>
    <mergeCell ref="A47:C47"/>
    <mergeCell ref="A63:H63"/>
    <mergeCell ref="D54:H54"/>
    <mergeCell ref="A55:H55"/>
    <mergeCell ref="A48:C48"/>
    <mergeCell ref="D48:H48"/>
    <mergeCell ref="A60:H60"/>
    <mergeCell ref="A61:C61"/>
    <mergeCell ref="D61:H61"/>
    <mergeCell ref="A62:C62"/>
    <mergeCell ref="D62:H62"/>
    <mergeCell ref="A43:C43"/>
    <mergeCell ref="D43:H43"/>
    <mergeCell ref="A49:C49"/>
    <mergeCell ref="D49:H49"/>
    <mergeCell ref="A50:C50"/>
    <mergeCell ref="D50:H50"/>
    <mergeCell ref="A44:C44"/>
    <mergeCell ref="D44:H44"/>
    <mergeCell ref="A45:C45"/>
    <mergeCell ref="D45:H45"/>
    <mergeCell ref="A46:C46"/>
    <mergeCell ref="D46:H46"/>
    <mergeCell ref="A51:C51"/>
    <mergeCell ref="D51:H51"/>
    <mergeCell ref="D52:H52"/>
    <mergeCell ref="A52:C52"/>
  </mergeCells>
  <printOptions horizontalCentered="1"/>
  <pageMargins left="0.11811023622047245" right="0.11811023622047245" top="0.19685039370078741" bottom="0.19685039370078741" header="0.31496062992125984" footer="0.31496062992125984"/>
  <pageSetup paperSize="9" scale="64" orientation="portrait" r:id="rId1"/>
  <headerFooter>
    <oddFooter>&amp;L_x000D_&amp;1#&amp;"Calibri"&amp;10&amp;K000000 Public</oddFooter>
  </headerFooter>
  <rowBreaks count="2" manualBreakCount="2">
    <brk id="37" max="16383" man="1"/>
    <brk id="59" min="1" max="7"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B1:O32"/>
  <sheetViews>
    <sheetView zoomScale="85" zoomScaleNormal="85" workbookViewId="0">
      <selection activeCell="J31" sqref="J31"/>
    </sheetView>
  </sheetViews>
  <sheetFormatPr defaultRowHeight="14.4" x14ac:dyDescent="0.3"/>
  <cols>
    <col min="1" max="1" width="2.44140625" customWidth="1"/>
    <col min="2" max="2" width="7.44140625" style="1" customWidth="1"/>
    <col min="3" max="3" width="14.44140625" style="1" bestFit="1" customWidth="1"/>
    <col min="4" max="4" width="13.109375" style="1" customWidth="1"/>
    <col min="5" max="5" width="9.109375" style="1"/>
    <col min="6" max="6" width="11.6640625" style="1" customWidth="1"/>
    <col min="7" max="7" width="12.6640625" style="1" bestFit="1" customWidth="1"/>
    <col min="8" max="9" width="11" style="11" customWidth="1"/>
    <col min="10" max="10" width="9.109375" style="11"/>
    <col min="11" max="11" width="15.109375" style="11" customWidth="1"/>
    <col min="12" max="12" width="10.109375" style="1" customWidth="1"/>
    <col min="13" max="13" width="15.88671875" style="11" customWidth="1"/>
    <col min="14" max="14" width="24" style="1" customWidth="1"/>
    <col min="15" max="15" width="32.33203125" style="1" customWidth="1"/>
  </cols>
  <sheetData>
    <row r="1" spans="2:15" x14ac:dyDescent="0.3">
      <c r="B1" s="335" t="s">
        <v>2</v>
      </c>
      <c r="C1" s="335"/>
      <c r="D1" s="336"/>
      <c r="E1" s="336"/>
      <c r="F1" s="336"/>
      <c r="G1" s="336"/>
      <c r="H1"/>
      <c r="I1"/>
      <c r="J1"/>
      <c r="K1"/>
      <c r="L1"/>
      <c r="M1"/>
      <c r="N1"/>
      <c r="O1"/>
    </row>
    <row r="2" spans="2:15" s="5" customFormat="1" ht="31.5" customHeight="1" x14ac:dyDescent="0.3">
      <c r="B2" s="3" t="s">
        <v>35</v>
      </c>
      <c r="C2" s="3" t="s">
        <v>36</v>
      </c>
      <c r="D2" s="4" t="s">
        <v>37</v>
      </c>
      <c r="E2" s="3" t="s">
        <v>17</v>
      </c>
      <c r="F2" s="3" t="s">
        <v>38</v>
      </c>
      <c r="G2" s="3" t="s">
        <v>0</v>
      </c>
      <c r="H2" s="3" t="s">
        <v>39</v>
      </c>
      <c r="I2" s="3" t="s">
        <v>40</v>
      </c>
      <c r="J2" s="3" t="s">
        <v>41</v>
      </c>
      <c r="K2" s="3" t="s">
        <v>42</v>
      </c>
      <c r="L2" s="3" t="s">
        <v>3</v>
      </c>
      <c r="M2" s="3" t="s">
        <v>25</v>
      </c>
      <c r="N2" s="3" t="s">
        <v>43</v>
      </c>
      <c r="O2" s="3" t="s">
        <v>44</v>
      </c>
    </row>
    <row r="3" spans="2:15" x14ac:dyDescent="0.3">
      <c r="B3" s="2">
        <v>1</v>
      </c>
      <c r="C3" s="2"/>
      <c r="D3" s="6"/>
      <c r="E3" s="7" t="str">
        <f>IF(D3="","",2021-YEAR(D3))</f>
        <v/>
      </c>
      <c r="F3" s="2"/>
      <c r="G3" s="2"/>
      <c r="H3" s="8"/>
      <c r="I3" s="8"/>
      <c r="J3" s="9" t="str">
        <f>IF(H3="","",IFERROR(I3/((H3/100)^2),0))</f>
        <v/>
      </c>
      <c r="K3" s="8"/>
      <c r="L3" s="10"/>
      <c r="M3" s="9" t="str">
        <f>IF(K3="","",(K3+(K3*L3)))</f>
        <v/>
      </c>
      <c r="N3" s="2"/>
      <c r="O3" s="2"/>
    </row>
    <row r="4" spans="2:15" x14ac:dyDescent="0.3">
      <c r="B4" s="2">
        <v>2</v>
      </c>
      <c r="C4" s="2"/>
      <c r="D4" s="6"/>
      <c r="E4" s="7" t="str">
        <f t="shared" ref="E4:E6" si="0">IF(D4="","",2021-YEAR(D4))</f>
        <v/>
      </c>
      <c r="F4" s="2"/>
      <c r="G4" s="2"/>
      <c r="H4" s="8"/>
      <c r="I4" s="8"/>
      <c r="J4" s="9" t="str">
        <f>IF(H4="","",IFERROR(I4/((H4/100)^2),0))</f>
        <v/>
      </c>
      <c r="K4" s="8"/>
      <c r="L4" s="2"/>
      <c r="M4" s="9" t="str">
        <f t="shared" ref="M4:M32" si="1">IF(K4="","",(K4+(K4*L4)))</f>
        <v/>
      </c>
      <c r="N4" s="2"/>
      <c r="O4" s="2"/>
    </row>
    <row r="5" spans="2:15" x14ac:dyDescent="0.3">
      <c r="B5" s="2">
        <v>3</v>
      </c>
      <c r="C5" s="2"/>
      <c r="D5" s="6"/>
      <c r="E5" s="7" t="str">
        <f t="shared" si="0"/>
        <v/>
      </c>
      <c r="F5" s="2"/>
      <c r="G5" s="2"/>
      <c r="H5" s="8"/>
      <c r="I5" s="8"/>
      <c r="J5" s="9" t="str">
        <f t="shared" ref="J5:J32" si="2">IF(H5="","",IFERROR(I5/((H5/100)^2),0))</f>
        <v/>
      </c>
      <c r="K5" s="8"/>
      <c r="L5" s="2"/>
      <c r="M5" s="9" t="str">
        <f t="shared" si="1"/>
        <v/>
      </c>
      <c r="N5" s="2"/>
      <c r="O5" s="2"/>
    </row>
    <row r="6" spans="2:15" x14ac:dyDescent="0.3">
      <c r="B6" s="2">
        <v>4</v>
      </c>
      <c r="C6" s="2"/>
      <c r="D6" s="6"/>
      <c r="E6" s="7" t="str">
        <f t="shared" si="0"/>
        <v/>
      </c>
      <c r="F6" s="2"/>
      <c r="G6" s="2"/>
      <c r="H6" s="8"/>
      <c r="I6" s="8"/>
      <c r="J6" s="9" t="str">
        <f t="shared" si="2"/>
        <v/>
      </c>
      <c r="K6" s="8"/>
      <c r="L6" s="2"/>
      <c r="M6" s="9" t="str">
        <f t="shared" si="1"/>
        <v/>
      </c>
      <c r="N6" s="2"/>
      <c r="O6" s="2"/>
    </row>
    <row r="7" spans="2:15" x14ac:dyDescent="0.3">
      <c r="B7" s="2">
        <v>5</v>
      </c>
      <c r="C7" s="2"/>
      <c r="D7" s="2"/>
      <c r="E7" s="7" t="str">
        <f t="shared" ref="E7:E32" si="3">IF(D7="","",2020-YEAR(D7))</f>
        <v/>
      </c>
      <c r="F7" s="2"/>
      <c r="G7" s="2"/>
      <c r="H7" s="8"/>
      <c r="I7" s="8"/>
      <c r="J7" s="9" t="str">
        <f t="shared" si="2"/>
        <v/>
      </c>
      <c r="K7" s="8"/>
      <c r="L7" s="2"/>
      <c r="M7" s="9" t="str">
        <f t="shared" si="1"/>
        <v/>
      </c>
      <c r="N7" s="2"/>
      <c r="O7" s="2"/>
    </row>
    <row r="8" spans="2:15" x14ac:dyDescent="0.3">
      <c r="B8" s="2">
        <v>6</v>
      </c>
      <c r="C8" s="2"/>
      <c r="D8" s="2"/>
      <c r="E8" s="7" t="str">
        <f t="shared" si="3"/>
        <v/>
      </c>
      <c r="F8" s="2"/>
      <c r="G8" s="2"/>
      <c r="H8" s="8"/>
      <c r="I8" s="8"/>
      <c r="J8" s="9" t="str">
        <f t="shared" si="2"/>
        <v/>
      </c>
      <c r="K8" s="8"/>
      <c r="L8" s="2"/>
      <c r="M8" s="9" t="str">
        <f t="shared" si="1"/>
        <v/>
      </c>
      <c r="N8" s="2"/>
      <c r="O8" s="2"/>
    </row>
    <row r="9" spans="2:15" x14ac:dyDescent="0.3">
      <c r="B9" s="2">
        <v>7</v>
      </c>
      <c r="C9" s="2"/>
      <c r="D9" s="2"/>
      <c r="E9" s="7" t="str">
        <f t="shared" si="3"/>
        <v/>
      </c>
      <c r="F9" s="2"/>
      <c r="G9" s="2"/>
      <c r="H9" s="8"/>
      <c r="I9" s="8"/>
      <c r="J9" s="9" t="str">
        <f t="shared" si="2"/>
        <v/>
      </c>
      <c r="K9" s="8"/>
      <c r="L9" s="2"/>
      <c r="M9" s="9" t="str">
        <f t="shared" si="1"/>
        <v/>
      </c>
      <c r="N9" s="2"/>
      <c r="O9" s="2"/>
    </row>
    <row r="10" spans="2:15" x14ac:dyDescent="0.3">
      <c r="B10" s="2">
        <v>8</v>
      </c>
      <c r="C10" s="2"/>
      <c r="D10" s="2"/>
      <c r="E10" s="7" t="str">
        <f t="shared" si="3"/>
        <v/>
      </c>
      <c r="F10" s="2"/>
      <c r="G10" s="2"/>
      <c r="H10" s="8"/>
      <c r="I10" s="8"/>
      <c r="J10" s="9" t="str">
        <f t="shared" si="2"/>
        <v/>
      </c>
      <c r="K10" s="8"/>
      <c r="L10" s="2"/>
      <c r="M10" s="9" t="str">
        <f t="shared" si="1"/>
        <v/>
      </c>
      <c r="N10" s="2"/>
      <c r="O10" s="2"/>
    </row>
    <row r="11" spans="2:15" x14ac:dyDescent="0.3">
      <c r="B11" s="2">
        <v>9</v>
      </c>
      <c r="C11" s="2"/>
      <c r="D11" s="2"/>
      <c r="E11" s="7" t="str">
        <f t="shared" si="3"/>
        <v/>
      </c>
      <c r="F11" s="2"/>
      <c r="G11" s="2"/>
      <c r="H11" s="8"/>
      <c r="I11" s="8"/>
      <c r="J11" s="9" t="str">
        <f t="shared" si="2"/>
        <v/>
      </c>
      <c r="K11" s="8"/>
      <c r="L11" s="2"/>
      <c r="M11" s="9" t="str">
        <f t="shared" si="1"/>
        <v/>
      </c>
      <c r="N11" s="2"/>
      <c r="O11" s="2"/>
    </row>
    <row r="12" spans="2:15" x14ac:dyDescent="0.3">
      <c r="B12" s="2">
        <v>10</v>
      </c>
      <c r="C12" s="2"/>
      <c r="D12" s="2"/>
      <c r="E12" s="7" t="str">
        <f t="shared" si="3"/>
        <v/>
      </c>
      <c r="F12" s="2"/>
      <c r="G12" s="2"/>
      <c r="H12" s="8"/>
      <c r="I12" s="8"/>
      <c r="J12" s="9" t="str">
        <f t="shared" si="2"/>
        <v/>
      </c>
      <c r="K12" s="8"/>
      <c r="L12" s="2"/>
      <c r="M12" s="9" t="str">
        <f t="shared" si="1"/>
        <v/>
      </c>
      <c r="N12" s="2"/>
      <c r="O12" s="2"/>
    </row>
    <row r="13" spans="2:15" x14ac:dyDescent="0.3">
      <c r="B13" s="2">
        <v>11</v>
      </c>
      <c r="C13" s="2"/>
      <c r="D13" s="2"/>
      <c r="E13" s="7" t="str">
        <f t="shared" si="3"/>
        <v/>
      </c>
      <c r="F13" s="2"/>
      <c r="G13" s="2"/>
      <c r="H13" s="8"/>
      <c r="I13" s="8"/>
      <c r="J13" s="9" t="str">
        <f t="shared" si="2"/>
        <v/>
      </c>
      <c r="K13" s="8"/>
      <c r="L13" s="2"/>
      <c r="M13" s="9" t="str">
        <f t="shared" si="1"/>
        <v/>
      </c>
      <c r="N13" s="2"/>
      <c r="O13" s="2"/>
    </row>
    <row r="14" spans="2:15" x14ac:dyDescent="0.3">
      <c r="B14" s="2">
        <v>12</v>
      </c>
      <c r="C14" s="2"/>
      <c r="D14" s="2"/>
      <c r="E14" s="7" t="str">
        <f t="shared" si="3"/>
        <v/>
      </c>
      <c r="F14" s="2"/>
      <c r="G14" s="2"/>
      <c r="H14" s="8"/>
      <c r="I14" s="8"/>
      <c r="J14" s="9" t="str">
        <f t="shared" si="2"/>
        <v/>
      </c>
      <c r="K14" s="8"/>
      <c r="L14" s="2"/>
      <c r="M14" s="9" t="str">
        <f t="shared" si="1"/>
        <v/>
      </c>
      <c r="N14" s="2"/>
      <c r="O14" s="2"/>
    </row>
    <row r="15" spans="2:15" x14ac:dyDescent="0.3">
      <c r="B15" s="2">
        <v>13</v>
      </c>
      <c r="C15" s="2"/>
      <c r="D15" s="2"/>
      <c r="E15" s="7" t="str">
        <f t="shared" si="3"/>
        <v/>
      </c>
      <c r="F15" s="2"/>
      <c r="G15" s="2"/>
      <c r="H15" s="8"/>
      <c r="I15" s="8"/>
      <c r="J15" s="9" t="str">
        <f t="shared" si="2"/>
        <v/>
      </c>
      <c r="K15" s="8"/>
      <c r="L15" s="2"/>
      <c r="M15" s="9" t="str">
        <f t="shared" si="1"/>
        <v/>
      </c>
      <c r="N15" s="2"/>
      <c r="O15" s="2"/>
    </row>
    <row r="16" spans="2:15" x14ac:dyDescent="0.3">
      <c r="B16" s="2">
        <v>14</v>
      </c>
      <c r="C16" s="2"/>
      <c r="D16" s="2"/>
      <c r="E16" s="7" t="str">
        <f t="shared" si="3"/>
        <v/>
      </c>
      <c r="F16" s="2"/>
      <c r="G16" s="2"/>
      <c r="H16" s="8"/>
      <c r="I16" s="8"/>
      <c r="J16" s="9" t="str">
        <f t="shared" si="2"/>
        <v/>
      </c>
      <c r="K16" s="8"/>
      <c r="L16" s="2"/>
      <c r="M16" s="9" t="str">
        <f t="shared" si="1"/>
        <v/>
      </c>
      <c r="N16" s="2"/>
      <c r="O16" s="2"/>
    </row>
    <row r="17" spans="2:15" x14ac:dyDescent="0.3">
      <c r="B17" s="2">
        <v>15</v>
      </c>
      <c r="C17" s="2"/>
      <c r="D17" s="2"/>
      <c r="E17" s="7" t="str">
        <f t="shared" si="3"/>
        <v/>
      </c>
      <c r="F17" s="2"/>
      <c r="G17" s="2"/>
      <c r="H17" s="8"/>
      <c r="I17" s="8"/>
      <c r="J17" s="9" t="str">
        <f t="shared" si="2"/>
        <v/>
      </c>
      <c r="K17" s="8"/>
      <c r="L17" s="2"/>
      <c r="M17" s="9" t="str">
        <f t="shared" si="1"/>
        <v/>
      </c>
      <c r="N17" s="2"/>
      <c r="O17" s="2"/>
    </row>
    <row r="18" spans="2:15" x14ac:dyDescent="0.3">
      <c r="B18" s="2">
        <v>16</v>
      </c>
      <c r="C18" s="2"/>
      <c r="D18" s="2"/>
      <c r="E18" s="7" t="str">
        <f t="shared" si="3"/>
        <v/>
      </c>
      <c r="F18" s="2"/>
      <c r="G18" s="2"/>
      <c r="H18" s="8"/>
      <c r="I18" s="8"/>
      <c r="J18" s="9" t="str">
        <f t="shared" si="2"/>
        <v/>
      </c>
      <c r="K18" s="8"/>
      <c r="L18" s="2"/>
      <c r="M18" s="9" t="str">
        <f t="shared" si="1"/>
        <v/>
      </c>
      <c r="N18" s="2"/>
      <c r="O18" s="2"/>
    </row>
    <row r="19" spans="2:15" x14ac:dyDescent="0.3">
      <c r="B19" s="2">
        <v>17</v>
      </c>
      <c r="C19" s="2"/>
      <c r="D19" s="2"/>
      <c r="E19" s="7" t="str">
        <f t="shared" si="3"/>
        <v/>
      </c>
      <c r="F19" s="2"/>
      <c r="G19" s="2"/>
      <c r="H19" s="8"/>
      <c r="I19" s="8"/>
      <c r="J19" s="9" t="str">
        <f t="shared" si="2"/>
        <v/>
      </c>
      <c r="K19" s="8"/>
      <c r="L19" s="2"/>
      <c r="M19" s="9" t="str">
        <f t="shared" si="1"/>
        <v/>
      </c>
      <c r="N19" s="2"/>
      <c r="O19" s="2"/>
    </row>
    <row r="20" spans="2:15" x14ac:dyDescent="0.3">
      <c r="B20" s="2">
        <v>18</v>
      </c>
      <c r="C20" s="2"/>
      <c r="D20" s="2"/>
      <c r="E20" s="7" t="str">
        <f t="shared" si="3"/>
        <v/>
      </c>
      <c r="F20" s="2"/>
      <c r="G20" s="2"/>
      <c r="H20" s="8"/>
      <c r="I20" s="8"/>
      <c r="J20" s="9" t="str">
        <f t="shared" si="2"/>
        <v/>
      </c>
      <c r="K20" s="8"/>
      <c r="L20" s="2"/>
      <c r="M20" s="9" t="str">
        <f t="shared" si="1"/>
        <v/>
      </c>
      <c r="N20" s="2"/>
      <c r="O20" s="2"/>
    </row>
    <row r="21" spans="2:15" x14ac:dyDescent="0.3">
      <c r="B21" s="2">
        <v>19</v>
      </c>
      <c r="C21" s="2"/>
      <c r="D21" s="2"/>
      <c r="E21" s="7" t="str">
        <f t="shared" si="3"/>
        <v/>
      </c>
      <c r="F21" s="2"/>
      <c r="G21" s="2"/>
      <c r="H21" s="8"/>
      <c r="I21" s="8"/>
      <c r="J21" s="9" t="str">
        <f t="shared" si="2"/>
        <v/>
      </c>
      <c r="K21" s="8"/>
      <c r="L21" s="2"/>
      <c r="M21" s="9" t="str">
        <f t="shared" si="1"/>
        <v/>
      </c>
      <c r="N21" s="2"/>
      <c r="O21" s="2"/>
    </row>
    <row r="22" spans="2:15" x14ac:dyDescent="0.3">
      <c r="B22" s="2">
        <v>20</v>
      </c>
      <c r="C22" s="2"/>
      <c r="D22" s="2"/>
      <c r="E22" s="7" t="str">
        <f t="shared" si="3"/>
        <v/>
      </c>
      <c r="F22" s="2"/>
      <c r="G22" s="2"/>
      <c r="H22" s="8"/>
      <c r="I22" s="8"/>
      <c r="J22" s="9" t="str">
        <f t="shared" si="2"/>
        <v/>
      </c>
      <c r="K22" s="8"/>
      <c r="L22" s="2"/>
      <c r="M22" s="9" t="str">
        <f t="shared" si="1"/>
        <v/>
      </c>
      <c r="N22" s="2"/>
      <c r="O22" s="2"/>
    </row>
    <row r="23" spans="2:15" x14ac:dyDescent="0.3">
      <c r="B23" s="2">
        <v>21</v>
      </c>
      <c r="C23" s="2"/>
      <c r="D23" s="2"/>
      <c r="E23" s="7" t="str">
        <f t="shared" si="3"/>
        <v/>
      </c>
      <c r="F23" s="2"/>
      <c r="G23" s="2"/>
      <c r="H23" s="8"/>
      <c r="I23" s="8"/>
      <c r="J23" s="9" t="str">
        <f t="shared" si="2"/>
        <v/>
      </c>
      <c r="K23" s="8"/>
      <c r="L23" s="2"/>
      <c r="M23" s="9" t="str">
        <f t="shared" si="1"/>
        <v/>
      </c>
      <c r="N23" s="2"/>
      <c r="O23" s="2"/>
    </row>
    <row r="24" spans="2:15" x14ac:dyDescent="0.3">
      <c r="B24" s="2">
        <v>22</v>
      </c>
      <c r="C24" s="2"/>
      <c r="D24" s="2"/>
      <c r="E24" s="7" t="str">
        <f t="shared" si="3"/>
        <v/>
      </c>
      <c r="F24" s="2"/>
      <c r="G24" s="2"/>
      <c r="H24" s="8"/>
      <c r="I24" s="8"/>
      <c r="J24" s="9" t="str">
        <f t="shared" si="2"/>
        <v/>
      </c>
      <c r="K24" s="8"/>
      <c r="L24" s="2"/>
      <c r="M24" s="9" t="str">
        <f t="shared" si="1"/>
        <v/>
      </c>
      <c r="N24" s="2"/>
      <c r="O24" s="2"/>
    </row>
    <row r="25" spans="2:15" x14ac:dyDescent="0.3">
      <c r="B25" s="2">
        <v>22</v>
      </c>
      <c r="C25" s="2"/>
      <c r="D25" s="2"/>
      <c r="E25" s="7" t="str">
        <f t="shared" si="3"/>
        <v/>
      </c>
      <c r="F25" s="2"/>
      <c r="G25" s="2"/>
      <c r="H25" s="8"/>
      <c r="I25" s="8"/>
      <c r="J25" s="9" t="str">
        <f t="shared" si="2"/>
        <v/>
      </c>
      <c r="K25" s="8"/>
      <c r="L25" s="2"/>
      <c r="M25" s="9" t="str">
        <f t="shared" si="1"/>
        <v/>
      </c>
      <c r="N25" s="2"/>
      <c r="O25" s="2"/>
    </row>
    <row r="26" spans="2:15" x14ac:dyDescent="0.3">
      <c r="B26" s="2">
        <v>22</v>
      </c>
      <c r="C26" s="2"/>
      <c r="D26" s="2"/>
      <c r="E26" s="7" t="str">
        <f t="shared" si="3"/>
        <v/>
      </c>
      <c r="F26" s="2"/>
      <c r="G26" s="2"/>
      <c r="H26" s="8"/>
      <c r="I26" s="8"/>
      <c r="J26" s="9" t="str">
        <f t="shared" si="2"/>
        <v/>
      </c>
      <c r="K26" s="8"/>
      <c r="L26" s="2"/>
      <c r="M26" s="9" t="str">
        <f t="shared" si="1"/>
        <v/>
      </c>
      <c r="N26" s="2"/>
      <c r="O26" s="2"/>
    </row>
    <row r="27" spans="2:15" x14ac:dyDescent="0.3">
      <c r="B27" s="2">
        <v>22</v>
      </c>
      <c r="C27" s="2"/>
      <c r="D27" s="2"/>
      <c r="E27" s="7" t="str">
        <f t="shared" si="3"/>
        <v/>
      </c>
      <c r="F27" s="2"/>
      <c r="G27" s="2"/>
      <c r="H27" s="8"/>
      <c r="I27" s="8"/>
      <c r="J27" s="9" t="str">
        <f t="shared" si="2"/>
        <v/>
      </c>
      <c r="K27" s="8"/>
      <c r="L27" s="2"/>
      <c r="M27" s="9" t="str">
        <f t="shared" si="1"/>
        <v/>
      </c>
      <c r="N27" s="2"/>
      <c r="O27" s="2"/>
    </row>
    <row r="28" spans="2:15" x14ac:dyDescent="0.3">
      <c r="B28" s="2">
        <v>22</v>
      </c>
      <c r="C28" s="2"/>
      <c r="D28" s="2"/>
      <c r="E28" s="7" t="str">
        <f t="shared" si="3"/>
        <v/>
      </c>
      <c r="F28" s="2"/>
      <c r="G28" s="2"/>
      <c r="H28" s="8"/>
      <c r="I28" s="8"/>
      <c r="J28" s="9" t="str">
        <f t="shared" si="2"/>
        <v/>
      </c>
      <c r="K28" s="8"/>
      <c r="L28" s="2"/>
      <c r="M28" s="9" t="str">
        <f t="shared" si="1"/>
        <v/>
      </c>
      <c r="N28" s="2"/>
      <c r="O28" s="2"/>
    </row>
    <row r="29" spans="2:15" x14ac:dyDescent="0.3">
      <c r="B29" s="2">
        <v>22</v>
      </c>
      <c r="C29" s="2"/>
      <c r="D29" s="2"/>
      <c r="E29" s="7" t="str">
        <f t="shared" si="3"/>
        <v/>
      </c>
      <c r="F29" s="2"/>
      <c r="G29" s="2"/>
      <c r="H29" s="8"/>
      <c r="I29" s="8"/>
      <c r="J29" s="9" t="str">
        <f t="shared" si="2"/>
        <v/>
      </c>
      <c r="K29" s="8"/>
      <c r="L29" s="2"/>
      <c r="M29" s="9" t="str">
        <f t="shared" si="1"/>
        <v/>
      </c>
      <c r="N29" s="2"/>
      <c r="O29" s="2"/>
    </row>
    <row r="30" spans="2:15" x14ac:dyDescent="0.3">
      <c r="B30" s="2">
        <v>22</v>
      </c>
      <c r="C30" s="2"/>
      <c r="D30" s="2"/>
      <c r="E30" s="7" t="str">
        <f t="shared" si="3"/>
        <v/>
      </c>
      <c r="F30" s="2"/>
      <c r="G30" s="2"/>
      <c r="H30" s="8"/>
      <c r="I30" s="8"/>
      <c r="J30" s="9" t="str">
        <f t="shared" si="2"/>
        <v/>
      </c>
      <c r="K30" s="8"/>
      <c r="L30" s="2"/>
      <c r="M30" s="9" t="str">
        <f t="shared" si="1"/>
        <v/>
      </c>
      <c r="N30" s="2"/>
      <c r="O30" s="2"/>
    </row>
    <row r="31" spans="2:15" x14ac:dyDescent="0.3">
      <c r="B31" s="2">
        <v>22</v>
      </c>
      <c r="C31" s="2"/>
      <c r="D31" s="2"/>
      <c r="E31" s="7" t="str">
        <f t="shared" si="3"/>
        <v/>
      </c>
      <c r="F31" s="2"/>
      <c r="G31" s="2"/>
      <c r="H31" s="8"/>
      <c r="I31" s="8"/>
      <c r="J31" s="9" t="str">
        <f t="shared" si="2"/>
        <v/>
      </c>
      <c r="K31" s="8"/>
      <c r="L31" s="2"/>
      <c r="M31" s="9" t="str">
        <f t="shared" si="1"/>
        <v/>
      </c>
      <c r="N31" s="2"/>
      <c r="O31" s="2"/>
    </row>
    <row r="32" spans="2:15" x14ac:dyDescent="0.3">
      <c r="B32" s="2">
        <v>22</v>
      </c>
      <c r="C32" s="2"/>
      <c r="D32" s="2"/>
      <c r="E32" s="7" t="str">
        <f t="shared" si="3"/>
        <v/>
      </c>
      <c r="F32" s="2"/>
      <c r="G32" s="2"/>
      <c r="H32" s="8"/>
      <c r="I32" s="8"/>
      <c r="J32" s="9" t="str">
        <f t="shared" si="2"/>
        <v/>
      </c>
      <c r="K32" s="8"/>
      <c r="L32" s="2"/>
      <c r="M32" s="9" t="str">
        <f t="shared" si="1"/>
        <v/>
      </c>
      <c r="N32" s="2"/>
      <c r="O32" s="2"/>
    </row>
  </sheetData>
  <sheetProtection algorithmName="SHA-512" hashValue="RI878DYg69phEzFqNX6VSAJw+pfsRGk9zCB1+ZCjok5vRlcdZI/QpxFNeq1HNmyBOgroczGPihbYa/SCWl+wPA==" saltValue="yyL+UWXCfJEn2SHbR3bupA==" spinCount="100000" sheet="1" objects="1" scenarios="1"/>
  <mergeCells count="2">
    <mergeCell ref="B1:C1"/>
    <mergeCell ref="D1:G1"/>
  </mergeCells>
  <pageMargins left="0.7" right="0.7" top="0.75" bottom="0.75" header="0.3" footer="0.3"/>
  <pageSetup orientation="portrait" r:id="rId1"/>
  <headerFooter>
    <oddFooter>&amp;L_x000D_&amp;1#&amp;"Calibri"&amp;10&amp;K000000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143"/>
  <sheetViews>
    <sheetView zoomScaleNormal="100" workbookViewId="0">
      <selection activeCell="B75" sqref="B75"/>
    </sheetView>
  </sheetViews>
  <sheetFormatPr defaultColWidth="9.109375" defaultRowHeight="14.4" x14ac:dyDescent="0.3"/>
  <cols>
    <col min="1" max="1" width="4.109375" style="180" customWidth="1"/>
    <col min="2" max="2" width="127.44140625" style="182" bestFit="1" customWidth="1"/>
    <col min="3" max="16384" width="9.109375" style="182"/>
  </cols>
  <sheetData>
    <row r="1" spans="1:2" ht="18" x14ac:dyDescent="0.3">
      <c r="B1" s="181" t="s">
        <v>182</v>
      </c>
    </row>
    <row r="2" spans="1:2" x14ac:dyDescent="0.3">
      <c r="B2" s="183" t="s">
        <v>183</v>
      </c>
    </row>
    <row r="3" spans="1:2" ht="17.399999999999999" x14ac:dyDescent="0.3">
      <c r="B3" s="184" t="s">
        <v>184</v>
      </c>
    </row>
    <row r="4" spans="1:2" ht="17.399999999999999" x14ac:dyDescent="0.3">
      <c r="B4" s="185"/>
    </row>
    <row r="5" spans="1:2" x14ac:dyDescent="0.3">
      <c r="A5" s="180" t="s">
        <v>185</v>
      </c>
      <c r="B5" s="186" t="s">
        <v>592</v>
      </c>
    </row>
    <row r="6" spans="1:2" x14ac:dyDescent="0.3">
      <c r="A6" s="180" t="s">
        <v>186</v>
      </c>
      <c r="B6" s="186" t="s">
        <v>593</v>
      </c>
    </row>
    <row r="7" spans="1:2" x14ac:dyDescent="0.3">
      <c r="A7" s="180" t="s">
        <v>188</v>
      </c>
      <c r="B7" s="186" t="s">
        <v>189</v>
      </c>
    </row>
    <row r="8" spans="1:2" x14ac:dyDescent="0.3">
      <c r="A8" s="180" t="s">
        <v>190</v>
      </c>
      <c r="B8" s="186" t="s">
        <v>191</v>
      </c>
    </row>
    <row r="9" spans="1:2" x14ac:dyDescent="0.3">
      <c r="B9" s="187" t="s">
        <v>192</v>
      </c>
    </row>
    <row r="10" spans="1:2" x14ac:dyDescent="0.3">
      <c r="B10" s="187" t="s">
        <v>193</v>
      </c>
    </row>
    <row r="11" spans="1:2" x14ac:dyDescent="0.3">
      <c r="A11" s="180" t="s">
        <v>194</v>
      </c>
      <c r="B11" s="186" t="s">
        <v>195</v>
      </c>
    </row>
    <row r="12" spans="1:2" x14ac:dyDescent="0.3">
      <c r="A12" s="180" t="s">
        <v>196</v>
      </c>
      <c r="B12" s="186" t="s">
        <v>584</v>
      </c>
    </row>
    <row r="13" spans="1:2" ht="43.2" x14ac:dyDescent="0.3">
      <c r="A13" s="180" t="s">
        <v>197</v>
      </c>
      <c r="B13" s="186" t="s">
        <v>198</v>
      </c>
    </row>
    <row r="14" spans="1:2" x14ac:dyDescent="0.3">
      <c r="A14" s="180" t="s">
        <v>199</v>
      </c>
      <c r="B14" s="186" t="s">
        <v>200</v>
      </c>
    </row>
    <row r="15" spans="1:2" x14ac:dyDescent="0.3">
      <c r="A15" s="180" t="s">
        <v>201</v>
      </c>
      <c r="B15" s="186" t="s">
        <v>202</v>
      </c>
    </row>
    <row r="16" spans="1:2" x14ac:dyDescent="0.3">
      <c r="A16" s="180" t="s">
        <v>203</v>
      </c>
      <c r="B16" s="186" t="s">
        <v>204</v>
      </c>
    </row>
    <row r="17" spans="1:2" x14ac:dyDescent="0.3">
      <c r="A17" s="180" t="s">
        <v>205</v>
      </c>
      <c r="B17" s="186" t="s">
        <v>206</v>
      </c>
    </row>
    <row r="18" spans="1:2" x14ac:dyDescent="0.3">
      <c r="A18" s="180" t="s">
        <v>207</v>
      </c>
      <c r="B18" s="186" t="s">
        <v>208</v>
      </c>
    </row>
    <row r="19" spans="1:2" x14ac:dyDescent="0.3">
      <c r="A19" s="180" t="s">
        <v>209</v>
      </c>
      <c r="B19" s="186" t="s">
        <v>300</v>
      </c>
    </row>
    <row r="20" spans="1:2" ht="28.8" x14ac:dyDescent="0.3">
      <c r="A20" s="180" t="s">
        <v>210</v>
      </c>
      <c r="B20" s="186" t="s">
        <v>211</v>
      </c>
    </row>
    <row r="21" spans="1:2" x14ac:dyDescent="0.3">
      <c r="A21" s="180" t="s">
        <v>212</v>
      </c>
      <c r="B21" s="186" t="s">
        <v>213</v>
      </c>
    </row>
    <row r="22" spans="1:2" ht="43.2" x14ac:dyDescent="0.3">
      <c r="A22" s="180" t="s">
        <v>214</v>
      </c>
      <c r="B22" s="186" t="s">
        <v>215</v>
      </c>
    </row>
    <row r="23" spans="1:2" x14ac:dyDescent="0.3">
      <c r="A23" s="180" t="s">
        <v>216</v>
      </c>
      <c r="B23" s="186" t="s">
        <v>217</v>
      </c>
    </row>
    <row r="24" spans="1:2" x14ac:dyDescent="0.3">
      <c r="A24" s="180" t="s">
        <v>218</v>
      </c>
      <c r="B24" s="186" t="s">
        <v>219</v>
      </c>
    </row>
    <row r="25" spans="1:2" x14ac:dyDescent="0.3">
      <c r="A25" s="180" t="s">
        <v>220</v>
      </c>
      <c r="B25" s="186" t="s">
        <v>585</v>
      </c>
    </row>
    <row r="26" spans="1:2" ht="33" customHeight="1" x14ac:dyDescent="0.3">
      <c r="A26" s="180" t="s">
        <v>221</v>
      </c>
      <c r="B26" s="186" t="s">
        <v>222</v>
      </c>
    </row>
    <row r="27" spans="1:2" x14ac:dyDescent="0.3">
      <c r="A27" s="180" t="s">
        <v>223</v>
      </c>
      <c r="B27" s="186" t="s">
        <v>586</v>
      </c>
    </row>
    <row r="28" spans="1:2" x14ac:dyDescent="0.3">
      <c r="A28" s="180" t="s">
        <v>224</v>
      </c>
      <c r="B28" s="186" t="s">
        <v>225</v>
      </c>
    </row>
    <row r="29" spans="1:2" x14ac:dyDescent="0.3">
      <c r="A29" s="180" t="s">
        <v>226</v>
      </c>
      <c r="B29" s="186" t="s">
        <v>227</v>
      </c>
    </row>
    <row r="30" spans="1:2" x14ac:dyDescent="0.3">
      <c r="A30" s="180" t="s">
        <v>228</v>
      </c>
      <c r="B30" s="186" t="s">
        <v>229</v>
      </c>
    </row>
    <row r="31" spans="1:2" ht="28.8" x14ac:dyDescent="0.3">
      <c r="A31" s="180" t="s">
        <v>230</v>
      </c>
      <c r="B31" s="186" t="s">
        <v>587</v>
      </c>
    </row>
    <row r="32" spans="1:2" x14ac:dyDescent="0.3">
      <c r="A32" s="180" t="s">
        <v>231</v>
      </c>
      <c r="B32" s="186" t="s">
        <v>232</v>
      </c>
    </row>
    <row r="33" spans="1:2" x14ac:dyDescent="0.3">
      <c r="A33" s="180" t="s">
        <v>233</v>
      </c>
      <c r="B33" s="186" t="s">
        <v>588</v>
      </c>
    </row>
    <row r="34" spans="1:2" x14ac:dyDescent="0.3">
      <c r="A34" s="180" t="s">
        <v>234</v>
      </c>
      <c r="B34" s="186" t="s">
        <v>235</v>
      </c>
    </row>
    <row r="35" spans="1:2" ht="28.8" x14ac:dyDescent="0.3">
      <c r="A35" s="180" t="s">
        <v>236</v>
      </c>
      <c r="B35" s="186" t="s">
        <v>589</v>
      </c>
    </row>
    <row r="36" spans="1:2" x14ac:dyDescent="0.3">
      <c r="A36" s="180" t="s">
        <v>237</v>
      </c>
      <c r="B36" s="186" t="s">
        <v>239</v>
      </c>
    </row>
    <row r="37" spans="1:2" x14ac:dyDescent="0.3">
      <c r="A37" s="180" t="s">
        <v>238</v>
      </c>
      <c r="B37" s="186" t="s">
        <v>241</v>
      </c>
    </row>
    <row r="38" spans="1:2" x14ac:dyDescent="0.3">
      <c r="A38" s="180" t="s">
        <v>240</v>
      </c>
      <c r="B38" s="186" t="s">
        <v>243</v>
      </c>
    </row>
    <row r="39" spans="1:2" ht="28.8" x14ac:dyDescent="0.3">
      <c r="A39" s="180" t="s">
        <v>242</v>
      </c>
      <c r="B39" s="186" t="s">
        <v>245</v>
      </c>
    </row>
    <row r="40" spans="1:2" ht="28.8" x14ac:dyDescent="0.3">
      <c r="A40" s="180" t="s">
        <v>244</v>
      </c>
      <c r="B40" s="186" t="s">
        <v>247</v>
      </c>
    </row>
    <row r="41" spans="1:2" ht="28.8" x14ac:dyDescent="0.3">
      <c r="A41" s="180" t="s">
        <v>246</v>
      </c>
      <c r="B41" s="186" t="s">
        <v>249</v>
      </c>
    </row>
    <row r="42" spans="1:2" ht="57.6" x14ac:dyDescent="0.3">
      <c r="A42" s="180" t="s">
        <v>248</v>
      </c>
      <c r="B42" s="186" t="s">
        <v>590</v>
      </c>
    </row>
    <row r="43" spans="1:2" x14ac:dyDescent="0.3">
      <c r="A43" s="180" t="s">
        <v>250</v>
      </c>
      <c r="B43" s="186" t="s">
        <v>252</v>
      </c>
    </row>
    <row r="44" spans="1:2" ht="28.8" x14ac:dyDescent="0.3">
      <c r="A44" s="180" t="s">
        <v>251</v>
      </c>
      <c r="B44" s="186" t="s">
        <v>591</v>
      </c>
    </row>
    <row r="45" spans="1:2" x14ac:dyDescent="0.3">
      <c r="A45" s="180" t="s">
        <v>253</v>
      </c>
      <c r="B45" s="186" t="s">
        <v>255</v>
      </c>
    </row>
    <row r="46" spans="1:2" x14ac:dyDescent="0.3">
      <c r="A46" s="180" t="s">
        <v>254</v>
      </c>
      <c r="B46" s="186" t="s">
        <v>257</v>
      </c>
    </row>
    <row r="47" spans="1:2" ht="28.8" x14ac:dyDescent="0.3">
      <c r="A47" s="180" t="s">
        <v>256</v>
      </c>
      <c r="B47" s="186" t="s">
        <v>258</v>
      </c>
    </row>
    <row r="48" spans="1:2" x14ac:dyDescent="0.3">
      <c r="B48" s="186"/>
    </row>
    <row r="49" spans="1:2" ht="33" customHeight="1" x14ac:dyDescent="0.3">
      <c r="A49" s="337" t="s">
        <v>259</v>
      </c>
      <c r="B49" s="337"/>
    </row>
    <row r="50" spans="1:2" x14ac:dyDescent="0.3">
      <c r="A50" s="180" t="s">
        <v>260</v>
      </c>
      <c r="B50" s="186" t="s">
        <v>261</v>
      </c>
    </row>
    <row r="51" spans="1:2" x14ac:dyDescent="0.3">
      <c r="A51" s="180" t="s">
        <v>262</v>
      </c>
      <c r="B51" s="186" t="s">
        <v>263</v>
      </c>
    </row>
    <row r="52" spans="1:2" x14ac:dyDescent="0.3">
      <c r="A52" s="180" t="s">
        <v>264</v>
      </c>
      <c r="B52" s="186" t="s">
        <v>265</v>
      </c>
    </row>
    <row r="53" spans="1:2" x14ac:dyDescent="0.3">
      <c r="A53" s="180" t="s">
        <v>266</v>
      </c>
      <c r="B53" s="186" t="s">
        <v>267</v>
      </c>
    </row>
    <row r="54" spans="1:2" x14ac:dyDescent="0.3">
      <c r="A54" s="180" t="s">
        <v>268</v>
      </c>
      <c r="B54" s="186" t="s">
        <v>269</v>
      </c>
    </row>
    <row r="55" spans="1:2" x14ac:dyDescent="0.3">
      <c r="A55" s="180" t="s">
        <v>270</v>
      </c>
      <c r="B55" s="186" t="s">
        <v>271</v>
      </c>
    </row>
    <row r="56" spans="1:2" ht="28.8" x14ac:dyDescent="0.3">
      <c r="A56" s="180" t="s">
        <v>272</v>
      </c>
      <c r="B56" s="186" t="s">
        <v>594</v>
      </c>
    </row>
    <row r="57" spans="1:2" x14ac:dyDescent="0.3">
      <c r="A57" s="180" t="s">
        <v>273</v>
      </c>
      <c r="B57" s="186" t="s">
        <v>274</v>
      </c>
    </row>
    <row r="58" spans="1:2" x14ac:dyDescent="0.3">
      <c r="A58" s="180" t="s">
        <v>275</v>
      </c>
      <c r="B58" s="186" t="s">
        <v>276</v>
      </c>
    </row>
    <row r="59" spans="1:2" x14ac:dyDescent="0.3">
      <c r="A59" s="180" t="s">
        <v>277</v>
      </c>
      <c r="B59" s="186" t="s">
        <v>278</v>
      </c>
    </row>
    <row r="60" spans="1:2" x14ac:dyDescent="0.3">
      <c r="A60" s="180" t="s">
        <v>279</v>
      </c>
      <c r="B60" s="186" t="s">
        <v>280</v>
      </c>
    </row>
    <row r="61" spans="1:2" x14ac:dyDescent="0.3">
      <c r="A61" s="180" t="s">
        <v>281</v>
      </c>
      <c r="B61" s="186" t="s">
        <v>282</v>
      </c>
    </row>
    <row r="62" spans="1:2" ht="28.8" x14ac:dyDescent="0.3">
      <c r="A62" s="180" t="s">
        <v>283</v>
      </c>
      <c r="B62" s="186" t="s">
        <v>595</v>
      </c>
    </row>
    <row r="63" spans="1:2" ht="35.25" customHeight="1" x14ac:dyDescent="0.3"/>
    <row r="64" spans="1:2" ht="48" customHeight="1" x14ac:dyDescent="0.3">
      <c r="A64" s="338" t="s">
        <v>284</v>
      </c>
      <c r="B64" s="338"/>
    </row>
    <row r="65" spans="1:2" x14ac:dyDescent="0.3">
      <c r="A65" s="180" t="s">
        <v>260</v>
      </c>
      <c r="B65" s="188" t="s">
        <v>285</v>
      </c>
    </row>
    <row r="66" spans="1:2" x14ac:dyDescent="0.3">
      <c r="A66" s="180" t="s">
        <v>262</v>
      </c>
      <c r="B66" s="188" t="s">
        <v>187</v>
      </c>
    </row>
    <row r="67" spans="1:2" x14ac:dyDescent="0.3">
      <c r="A67" s="180" t="s">
        <v>264</v>
      </c>
      <c r="B67" s="188" t="s">
        <v>286</v>
      </c>
    </row>
    <row r="68" spans="1:2" ht="28.8" x14ac:dyDescent="0.3">
      <c r="A68" s="180" t="s">
        <v>266</v>
      </c>
      <c r="B68" s="188" t="s">
        <v>287</v>
      </c>
    </row>
    <row r="69" spans="1:2" x14ac:dyDescent="0.3">
      <c r="A69" s="180" t="s">
        <v>268</v>
      </c>
      <c r="B69" s="188" t="s">
        <v>288</v>
      </c>
    </row>
    <row r="70" spans="1:2" x14ac:dyDescent="0.3">
      <c r="A70" s="180" t="s">
        <v>270</v>
      </c>
      <c r="B70" s="188" t="s">
        <v>289</v>
      </c>
    </row>
    <row r="71" spans="1:2" ht="72.75" customHeight="1" x14ac:dyDescent="0.3">
      <c r="A71" s="180" t="s">
        <v>272</v>
      </c>
      <c r="B71" s="189" t="s">
        <v>290</v>
      </c>
    </row>
    <row r="72" spans="1:2" x14ac:dyDescent="0.3">
      <c r="A72" s="180" t="s">
        <v>273</v>
      </c>
      <c r="B72" s="188" t="s">
        <v>291</v>
      </c>
    </row>
    <row r="73" spans="1:2" x14ac:dyDescent="0.3">
      <c r="A73" s="180" t="s">
        <v>275</v>
      </c>
      <c r="B73" s="188" t="s">
        <v>292</v>
      </c>
    </row>
    <row r="74" spans="1:2" ht="28.8" x14ac:dyDescent="0.3">
      <c r="A74" s="180" t="s">
        <v>277</v>
      </c>
      <c r="B74" s="188" t="s">
        <v>293</v>
      </c>
    </row>
    <row r="75" spans="1:2" x14ac:dyDescent="0.3">
      <c r="A75" s="180" t="s">
        <v>279</v>
      </c>
      <c r="B75" s="188" t="s">
        <v>294</v>
      </c>
    </row>
    <row r="76" spans="1:2" x14ac:dyDescent="0.3">
      <c r="A76" s="180" t="s">
        <v>281</v>
      </c>
      <c r="B76" s="188" t="s">
        <v>295</v>
      </c>
    </row>
    <row r="77" spans="1:2" x14ac:dyDescent="0.3">
      <c r="A77" s="180" t="s">
        <v>283</v>
      </c>
      <c r="B77" s="188" t="s">
        <v>296</v>
      </c>
    </row>
    <row r="78" spans="1:2" x14ac:dyDescent="0.3">
      <c r="A78" s="180" t="s">
        <v>297</v>
      </c>
      <c r="B78" s="188" t="s">
        <v>298</v>
      </c>
    </row>
    <row r="79" spans="1:2" x14ac:dyDescent="0.3">
      <c r="A79" s="180" t="s">
        <v>299</v>
      </c>
      <c r="B79" s="188" t="s">
        <v>300</v>
      </c>
    </row>
    <row r="80" spans="1:2" ht="28.8" x14ac:dyDescent="0.3">
      <c r="A80" s="180" t="s">
        <v>301</v>
      </c>
      <c r="B80" s="188" t="s">
        <v>302</v>
      </c>
    </row>
    <row r="81" spans="1:2" x14ac:dyDescent="0.3">
      <c r="A81" s="180" t="s">
        <v>303</v>
      </c>
      <c r="B81" s="188" t="s">
        <v>304</v>
      </c>
    </row>
    <row r="82" spans="1:2" ht="43.2" x14ac:dyDescent="0.3">
      <c r="A82" s="180" t="s">
        <v>305</v>
      </c>
      <c r="B82" s="188" t="s">
        <v>306</v>
      </c>
    </row>
    <row r="83" spans="1:2" x14ac:dyDescent="0.3">
      <c r="A83" s="180" t="s">
        <v>307</v>
      </c>
      <c r="B83" s="188" t="s">
        <v>308</v>
      </c>
    </row>
    <row r="84" spans="1:2" x14ac:dyDescent="0.3">
      <c r="A84" s="180" t="s">
        <v>309</v>
      </c>
      <c r="B84" s="188" t="s">
        <v>310</v>
      </c>
    </row>
    <row r="85" spans="1:2" x14ac:dyDescent="0.3">
      <c r="A85" s="180" t="s">
        <v>311</v>
      </c>
      <c r="B85" s="188" t="s">
        <v>312</v>
      </c>
    </row>
    <row r="86" spans="1:2" ht="28.8" x14ac:dyDescent="0.3">
      <c r="A86" s="180" t="s">
        <v>313</v>
      </c>
      <c r="B86" s="188" t="s">
        <v>314</v>
      </c>
    </row>
    <row r="87" spans="1:2" ht="28.8" x14ac:dyDescent="0.3">
      <c r="A87" s="180" t="s">
        <v>315</v>
      </c>
      <c r="B87" s="188" t="s">
        <v>316</v>
      </c>
    </row>
    <row r="88" spans="1:2" ht="28.8" x14ac:dyDescent="0.3">
      <c r="A88" s="180" t="s">
        <v>317</v>
      </c>
      <c r="B88" s="188" t="s">
        <v>318</v>
      </c>
    </row>
    <row r="89" spans="1:2" x14ac:dyDescent="0.3">
      <c r="A89" s="180" t="s">
        <v>319</v>
      </c>
      <c r="B89" s="188" t="s">
        <v>320</v>
      </c>
    </row>
    <row r="90" spans="1:2" ht="28.8" x14ac:dyDescent="0.3">
      <c r="A90" s="180" t="s">
        <v>321</v>
      </c>
      <c r="B90" s="188" t="s">
        <v>322</v>
      </c>
    </row>
    <row r="91" spans="1:2" ht="28.8" x14ac:dyDescent="0.3">
      <c r="A91" s="180" t="s">
        <v>323</v>
      </c>
      <c r="B91" s="188" t="s">
        <v>324</v>
      </c>
    </row>
    <row r="92" spans="1:2" x14ac:dyDescent="0.3">
      <c r="A92" s="180" t="s">
        <v>325</v>
      </c>
      <c r="B92" s="188" t="s">
        <v>326</v>
      </c>
    </row>
    <row r="93" spans="1:2" x14ac:dyDescent="0.3">
      <c r="A93" s="180" t="s">
        <v>327</v>
      </c>
      <c r="B93" s="188" t="s">
        <v>328</v>
      </c>
    </row>
    <row r="94" spans="1:2" x14ac:dyDescent="0.3">
      <c r="A94" s="180" t="s">
        <v>329</v>
      </c>
      <c r="B94" s="188" t="s">
        <v>330</v>
      </c>
    </row>
    <row r="95" spans="1:2" x14ac:dyDescent="0.3">
      <c r="A95" s="180" t="s">
        <v>331</v>
      </c>
      <c r="B95" s="188" t="s">
        <v>332</v>
      </c>
    </row>
    <row r="96" spans="1:2" ht="28.8" x14ac:dyDescent="0.3">
      <c r="A96" s="180" t="s">
        <v>333</v>
      </c>
      <c r="B96" s="188" t="s">
        <v>334</v>
      </c>
    </row>
    <row r="97" spans="1:2" x14ac:dyDescent="0.3">
      <c r="A97" s="180" t="s">
        <v>335</v>
      </c>
      <c r="B97" s="188" t="s">
        <v>336</v>
      </c>
    </row>
    <row r="98" spans="1:2" x14ac:dyDescent="0.3">
      <c r="A98" s="180" t="s">
        <v>337</v>
      </c>
      <c r="B98" s="188" t="s">
        <v>338</v>
      </c>
    </row>
    <row r="99" spans="1:2" x14ac:dyDescent="0.3">
      <c r="A99" s="180" t="s">
        <v>339</v>
      </c>
      <c r="B99" s="188" t="s">
        <v>340</v>
      </c>
    </row>
    <row r="100" spans="1:2" x14ac:dyDescent="0.3">
      <c r="A100" s="180" t="s">
        <v>341</v>
      </c>
      <c r="B100" s="188" t="s">
        <v>342</v>
      </c>
    </row>
    <row r="101" spans="1:2" ht="28.8" x14ac:dyDescent="0.3">
      <c r="A101" s="180" t="s">
        <v>343</v>
      </c>
      <c r="B101" s="188" t="s">
        <v>344</v>
      </c>
    </row>
    <row r="102" spans="1:2" x14ac:dyDescent="0.3">
      <c r="A102" s="180" t="s">
        <v>345</v>
      </c>
      <c r="B102" s="188" t="s">
        <v>346</v>
      </c>
    </row>
    <row r="103" spans="1:2" x14ac:dyDescent="0.3">
      <c r="A103" s="180" t="s">
        <v>347</v>
      </c>
      <c r="B103" s="188" t="s">
        <v>348</v>
      </c>
    </row>
    <row r="104" spans="1:2" ht="57.6" x14ac:dyDescent="0.3">
      <c r="A104" s="180" t="s">
        <v>349</v>
      </c>
      <c r="B104" s="188" t="s">
        <v>350</v>
      </c>
    </row>
    <row r="105" spans="1:2" x14ac:dyDescent="0.3">
      <c r="A105" s="180" t="s">
        <v>351</v>
      </c>
      <c r="B105" s="188" t="s">
        <v>352</v>
      </c>
    </row>
    <row r="106" spans="1:2" x14ac:dyDescent="0.3">
      <c r="A106" s="180" t="s">
        <v>353</v>
      </c>
      <c r="B106" s="188" t="s">
        <v>354</v>
      </c>
    </row>
    <row r="107" spans="1:2" x14ac:dyDescent="0.3">
      <c r="A107" s="180" t="s">
        <v>355</v>
      </c>
      <c r="B107" s="188" t="s">
        <v>356</v>
      </c>
    </row>
    <row r="109" spans="1:2" ht="15.6" x14ac:dyDescent="0.3">
      <c r="B109" s="190" t="s">
        <v>357</v>
      </c>
    </row>
    <row r="110" spans="1:2" x14ac:dyDescent="0.3">
      <c r="A110" s="180" t="s">
        <v>260</v>
      </c>
      <c r="B110" s="188" t="s">
        <v>358</v>
      </c>
    </row>
    <row r="111" spans="1:2" x14ac:dyDescent="0.3">
      <c r="A111" s="180" t="s">
        <v>262</v>
      </c>
      <c r="B111" s="188" t="s">
        <v>359</v>
      </c>
    </row>
    <row r="112" spans="1:2" x14ac:dyDescent="0.3">
      <c r="A112" s="180" t="s">
        <v>264</v>
      </c>
      <c r="B112" s="188" t="s">
        <v>360</v>
      </c>
    </row>
    <row r="113" spans="1:2" x14ac:dyDescent="0.3">
      <c r="A113" s="180" t="s">
        <v>266</v>
      </c>
      <c r="B113" s="188" t="s">
        <v>361</v>
      </c>
    </row>
    <row r="114" spans="1:2" x14ac:dyDescent="0.3">
      <c r="A114" s="180" t="s">
        <v>268</v>
      </c>
      <c r="B114" s="188" t="s">
        <v>362</v>
      </c>
    </row>
    <row r="115" spans="1:2" x14ac:dyDescent="0.3">
      <c r="A115" s="180" t="s">
        <v>270</v>
      </c>
      <c r="B115" s="188" t="s">
        <v>363</v>
      </c>
    </row>
    <row r="116" spans="1:2" ht="28.8" x14ac:dyDescent="0.3">
      <c r="A116" s="180" t="s">
        <v>272</v>
      </c>
      <c r="B116" s="188" t="s">
        <v>364</v>
      </c>
    </row>
    <row r="117" spans="1:2" x14ac:dyDescent="0.3">
      <c r="A117" s="180" t="s">
        <v>273</v>
      </c>
      <c r="B117" s="188" t="s">
        <v>365</v>
      </c>
    </row>
    <row r="118" spans="1:2" x14ac:dyDescent="0.3">
      <c r="A118" s="180" t="s">
        <v>275</v>
      </c>
      <c r="B118" s="188" t="s">
        <v>366</v>
      </c>
    </row>
    <row r="119" spans="1:2" x14ac:dyDescent="0.3">
      <c r="A119" s="180" t="s">
        <v>277</v>
      </c>
      <c r="B119" s="188" t="s">
        <v>367</v>
      </c>
    </row>
    <row r="120" spans="1:2" x14ac:dyDescent="0.3">
      <c r="A120" s="180" t="s">
        <v>279</v>
      </c>
      <c r="B120" s="188" t="s">
        <v>368</v>
      </c>
    </row>
    <row r="121" spans="1:2" x14ac:dyDescent="0.3">
      <c r="A121" s="180" t="s">
        <v>281</v>
      </c>
      <c r="B121" s="188" t="s">
        <v>369</v>
      </c>
    </row>
    <row r="122" spans="1:2" x14ac:dyDescent="0.3">
      <c r="A122" s="180" t="s">
        <v>283</v>
      </c>
      <c r="B122" s="188" t="s">
        <v>370</v>
      </c>
    </row>
    <row r="123" spans="1:2" x14ac:dyDescent="0.3">
      <c r="B123" s="191" t="s">
        <v>514</v>
      </c>
    </row>
    <row r="124" spans="1:2" x14ac:dyDescent="0.3">
      <c r="B124" s="182" t="s">
        <v>515</v>
      </c>
    </row>
    <row r="125" spans="1:2" ht="28.8" x14ac:dyDescent="0.3">
      <c r="A125" s="180">
        <v>1</v>
      </c>
      <c r="B125" s="192" t="s">
        <v>531</v>
      </c>
    </row>
    <row r="126" spans="1:2" x14ac:dyDescent="0.3">
      <c r="A126" s="180">
        <v>2</v>
      </c>
      <c r="B126" s="182" t="s">
        <v>516</v>
      </c>
    </row>
    <row r="127" spans="1:2" x14ac:dyDescent="0.3">
      <c r="A127" s="180">
        <v>3</v>
      </c>
      <c r="B127" s="182" t="s">
        <v>517</v>
      </c>
    </row>
    <row r="128" spans="1:2" x14ac:dyDescent="0.3">
      <c r="A128" s="180">
        <v>4</v>
      </c>
      <c r="B128" s="182" t="s">
        <v>518</v>
      </c>
    </row>
    <row r="129" spans="1:2" x14ac:dyDescent="0.3">
      <c r="A129" s="180">
        <v>5</v>
      </c>
      <c r="B129" s="182" t="s">
        <v>519</v>
      </c>
    </row>
    <row r="130" spans="1:2" x14ac:dyDescent="0.3">
      <c r="A130" s="180">
        <v>6</v>
      </c>
      <c r="B130" s="182" t="s">
        <v>520</v>
      </c>
    </row>
    <row r="131" spans="1:2" x14ac:dyDescent="0.3">
      <c r="A131" s="180">
        <v>7</v>
      </c>
      <c r="B131" s="182" t="s">
        <v>521</v>
      </c>
    </row>
    <row r="132" spans="1:2" x14ac:dyDescent="0.3">
      <c r="A132" s="180">
        <v>8</v>
      </c>
      <c r="B132" s="182" t="s">
        <v>532</v>
      </c>
    </row>
    <row r="133" spans="1:2" x14ac:dyDescent="0.3">
      <c r="A133" s="180">
        <v>9</v>
      </c>
      <c r="B133" s="182" t="s">
        <v>533</v>
      </c>
    </row>
    <row r="134" spans="1:2" x14ac:dyDescent="0.3">
      <c r="A134" s="180">
        <v>10</v>
      </c>
      <c r="B134" s="182" t="s">
        <v>522</v>
      </c>
    </row>
    <row r="135" spans="1:2" x14ac:dyDescent="0.3">
      <c r="A135" s="180">
        <v>11</v>
      </c>
      <c r="B135" s="182" t="s">
        <v>523</v>
      </c>
    </row>
    <row r="136" spans="1:2" x14ac:dyDescent="0.3">
      <c r="A136" s="180">
        <v>12</v>
      </c>
      <c r="B136" s="182" t="s">
        <v>524</v>
      </c>
    </row>
    <row r="137" spans="1:2" x14ac:dyDescent="0.3">
      <c r="A137" s="180">
        <v>13</v>
      </c>
      <c r="B137" s="182" t="s">
        <v>525</v>
      </c>
    </row>
    <row r="138" spans="1:2" x14ac:dyDescent="0.3">
      <c r="A138" s="180">
        <v>14</v>
      </c>
      <c r="B138" s="182" t="s">
        <v>526</v>
      </c>
    </row>
    <row r="139" spans="1:2" x14ac:dyDescent="0.3">
      <c r="A139" s="180">
        <v>15</v>
      </c>
      <c r="B139" s="182" t="s">
        <v>534</v>
      </c>
    </row>
    <row r="140" spans="1:2" x14ac:dyDescent="0.3">
      <c r="A140" s="180">
        <v>16</v>
      </c>
      <c r="B140" s="182" t="s">
        <v>527</v>
      </c>
    </row>
    <row r="141" spans="1:2" x14ac:dyDescent="0.3">
      <c r="A141" s="180">
        <v>17</v>
      </c>
      <c r="B141" s="182" t="s">
        <v>528</v>
      </c>
    </row>
    <row r="142" spans="1:2" x14ac:dyDescent="0.3">
      <c r="A142" s="180">
        <v>18</v>
      </c>
      <c r="B142" s="182" t="s">
        <v>529</v>
      </c>
    </row>
    <row r="143" spans="1:2" x14ac:dyDescent="0.3">
      <c r="A143" s="180">
        <v>19</v>
      </c>
      <c r="B143" s="182" t="s">
        <v>530</v>
      </c>
    </row>
  </sheetData>
  <sheetProtection algorithmName="SHA-512" hashValue="UzIb+TLNjIqZ0XwYOGyCfmpq0J6yR2BA63dPlKNBSEpJuXpsdeYqwqHkFjmE7kx3hJ8a4dDswhWELYEIfdg44Q==" saltValue="baRE3KlPWVx5L/CtZuePsw==" spinCount="100000" sheet="1" objects="1" scenarios="1"/>
  <mergeCells count="2">
    <mergeCell ref="A49:B49"/>
    <mergeCell ref="A64:B64"/>
  </mergeCells>
  <printOptions horizontalCentered="1"/>
  <pageMargins left="0.11811023622047245" right="0.11811023622047245" top="0.43307086614173229" bottom="7.874015748031496E-2" header="0.31496062992125984" footer="0.31496062992125984"/>
  <pageSetup scale="70" orientation="portrait" r:id="rId1"/>
  <headerFooter>
    <oddFooter>&amp;L_x000D_&amp;1#&amp;"Calibri"&amp;10&amp;K000000 Public</oddFooter>
  </headerFooter>
  <rowBreaks count="1" manualBreakCount="1">
    <brk id="48" max="16383" man="1"/>
  </rowBreaks>
  <colBreaks count="1" manualBreakCount="1">
    <brk id="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C46"/>
  <sheetViews>
    <sheetView workbookViewId="0">
      <pane ySplit="1" topLeftCell="A2" activePane="bottomLeft" state="frozen"/>
      <selection pane="bottomLeft" sqref="A1:XFD1048576"/>
    </sheetView>
  </sheetViews>
  <sheetFormatPr defaultColWidth="9.109375" defaultRowHeight="27.9" customHeight="1" x14ac:dyDescent="0.3"/>
  <cols>
    <col min="1" max="1" width="16.33203125" style="17" bestFit="1" customWidth="1"/>
    <col min="2" max="2" width="18.33203125" style="5" bestFit="1" customWidth="1"/>
    <col min="3" max="3" width="19.5546875" style="5" bestFit="1" customWidth="1"/>
    <col min="4" max="4" width="31.6640625" style="5" bestFit="1" customWidth="1"/>
    <col min="5" max="5" width="41.44140625" style="5" bestFit="1" customWidth="1"/>
    <col min="6" max="6" width="44.5546875" style="5" bestFit="1" customWidth="1"/>
    <col min="7" max="7" width="63" style="5" bestFit="1" customWidth="1"/>
    <col min="8" max="8" width="27.88671875" style="5" bestFit="1" customWidth="1"/>
    <col min="9" max="9" width="44.88671875" style="5" bestFit="1" customWidth="1"/>
    <col min="10" max="10" width="45.109375" style="5" customWidth="1"/>
    <col min="11" max="11" width="77.88671875" style="5" bestFit="1" customWidth="1"/>
    <col min="12" max="12" width="47.44140625" style="5" bestFit="1" customWidth="1"/>
    <col min="13" max="13" width="87" style="5" bestFit="1" customWidth="1"/>
    <col min="14" max="14" width="19.88671875" style="5" bestFit="1" customWidth="1"/>
    <col min="15" max="15" width="90.44140625" style="5" bestFit="1" customWidth="1"/>
    <col min="16" max="16" width="85" style="5" customWidth="1"/>
    <col min="17" max="17" width="33.33203125" style="5" customWidth="1"/>
    <col min="18" max="18" width="41.88671875" style="5" customWidth="1"/>
    <col min="19" max="19" width="34.5546875" style="5" bestFit="1" customWidth="1"/>
    <col min="20" max="20" width="18.5546875" style="17" bestFit="1" customWidth="1"/>
    <col min="21" max="21" width="28.44140625" style="17" customWidth="1"/>
    <col min="22" max="16384" width="9.109375" style="17"/>
  </cols>
  <sheetData>
    <row r="1" spans="1:29" ht="27.9" customHeight="1" x14ac:dyDescent="0.3">
      <c r="A1" s="41" t="s">
        <v>474</v>
      </c>
      <c r="B1" s="41" t="s">
        <v>136</v>
      </c>
      <c r="C1" s="41" t="s">
        <v>137</v>
      </c>
      <c r="D1" s="41" t="s">
        <v>79</v>
      </c>
      <c r="E1" s="41" t="s">
        <v>138</v>
      </c>
      <c r="F1" s="42" t="s">
        <v>139</v>
      </c>
      <c r="G1" s="42" t="s">
        <v>134</v>
      </c>
      <c r="H1" s="42" t="s">
        <v>140</v>
      </c>
      <c r="I1" s="42" t="s">
        <v>141</v>
      </c>
      <c r="J1" s="42" t="s">
        <v>142</v>
      </c>
      <c r="K1" s="42" t="s">
        <v>133</v>
      </c>
      <c r="L1" s="42" t="s">
        <v>143</v>
      </c>
      <c r="M1" s="42" t="s">
        <v>429</v>
      </c>
      <c r="N1" s="42" t="s">
        <v>135</v>
      </c>
      <c r="O1" s="42" t="s">
        <v>152</v>
      </c>
      <c r="P1" s="42" t="s">
        <v>144</v>
      </c>
      <c r="Q1" s="42" t="s">
        <v>118</v>
      </c>
      <c r="R1" s="43" t="s">
        <v>420</v>
      </c>
      <c r="S1" s="43" t="s">
        <v>421</v>
      </c>
      <c r="T1" s="117" t="s">
        <v>110</v>
      </c>
      <c r="U1" s="123" t="s">
        <v>81</v>
      </c>
      <c r="V1" s="124"/>
      <c r="W1" s="124"/>
      <c r="X1" s="124"/>
      <c r="Y1" s="125"/>
    </row>
    <row r="2" spans="1:29" ht="27.9" customHeight="1" x14ac:dyDescent="0.3">
      <c r="A2" s="88" t="s">
        <v>405</v>
      </c>
      <c r="B2" s="12" t="s">
        <v>405</v>
      </c>
      <c r="C2" s="39" t="s">
        <v>78</v>
      </c>
      <c r="D2" s="39" t="s">
        <v>151</v>
      </c>
      <c r="E2" s="44" t="s">
        <v>382</v>
      </c>
      <c r="F2" s="45" t="s">
        <v>179</v>
      </c>
      <c r="G2" s="46" t="s">
        <v>481</v>
      </c>
      <c r="H2" s="85" t="s">
        <v>381</v>
      </c>
      <c r="I2" s="84" t="s">
        <v>550</v>
      </c>
      <c r="J2" s="49" t="s">
        <v>73</v>
      </c>
      <c r="K2" s="47" t="s">
        <v>145</v>
      </c>
      <c r="L2" s="48" t="s">
        <v>393</v>
      </c>
      <c r="M2" s="87" t="s">
        <v>427</v>
      </c>
      <c r="N2" s="46" t="s">
        <v>103</v>
      </c>
      <c r="O2" s="46" t="s">
        <v>394</v>
      </c>
      <c r="P2" s="46" t="s">
        <v>502</v>
      </c>
      <c r="Q2" s="46" t="s">
        <v>415</v>
      </c>
      <c r="R2" s="46" t="s">
        <v>417</v>
      </c>
      <c r="S2" s="5" t="s">
        <v>422</v>
      </c>
      <c r="T2" s="123" t="s">
        <v>162</v>
      </c>
      <c r="U2" s="120" t="s">
        <v>163</v>
      </c>
      <c r="V2" s="120"/>
      <c r="W2" s="120"/>
      <c r="X2" s="120"/>
      <c r="Y2" s="121"/>
    </row>
    <row r="3" spans="1:29" ht="27.9" customHeight="1" x14ac:dyDescent="0.3">
      <c r="A3" s="88" t="s">
        <v>406</v>
      </c>
      <c r="B3" s="12" t="s">
        <v>406</v>
      </c>
      <c r="C3" s="39" t="s">
        <v>112</v>
      </c>
      <c r="D3" s="39" t="s">
        <v>151</v>
      </c>
      <c r="E3" s="44" t="s">
        <v>383</v>
      </c>
      <c r="F3" s="45" t="s">
        <v>391</v>
      </c>
      <c r="G3" s="46" t="s">
        <v>481</v>
      </c>
      <c r="H3" s="85" t="s">
        <v>381</v>
      </c>
      <c r="I3" s="84" t="s">
        <v>551</v>
      </c>
      <c r="J3" s="49" t="s">
        <v>73</v>
      </c>
      <c r="K3" s="47" t="s">
        <v>145</v>
      </c>
      <c r="L3" s="48" t="s">
        <v>146</v>
      </c>
      <c r="M3" s="87" t="s">
        <v>427</v>
      </c>
      <c r="N3" s="46" t="s">
        <v>103</v>
      </c>
      <c r="O3" s="46" t="s">
        <v>394</v>
      </c>
      <c r="P3" s="46" t="s">
        <v>503</v>
      </c>
      <c r="Q3" s="46" t="s">
        <v>416</v>
      </c>
      <c r="R3" s="46" t="s">
        <v>417</v>
      </c>
      <c r="S3" s="5" t="s">
        <v>422</v>
      </c>
      <c r="T3" s="123" t="s">
        <v>162</v>
      </c>
      <c r="U3" s="120" t="s">
        <v>163</v>
      </c>
    </row>
    <row r="4" spans="1:29" ht="48.75" customHeight="1" x14ac:dyDescent="0.3">
      <c r="A4" s="88" t="s">
        <v>454</v>
      </c>
      <c r="B4" s="12" t="s">
        <v>407</v>
      </c>
      <c r="C4" s="39" t="s">
        <v>149</v>
      </c>
      <c r="D4" s="39" t="s">
        <v>389</v>
      </c>
      <c r="E4" s="44" t="s">
        <v>535</v>
      </c>
      <c r="F4" s="45" t="s">
        <v>180</v>
      </c>
      <c r="G4" s="46" t="s">
        <v>482</v>
      </c>
      <c r="H4" s="85" t="s">
        <v>388</v>
      </c>
      <c r="I4" s="84" t="s">
        <v>552</v>
      </c>
      <c r="J4" s="49" t="s">
        <v>73</v>
      </c>
      <c r="K4" s="47" t="s">
        <v>145</v>
      </c>
      <c r="L4" s="48" t="s">
        <v>146</v>
      </c>
      <c r="M4" s="87" t="s">
        <v>428</v>
      </c>
      <c r="N4" s="46" t="s">
        <v>103</v>
      </c>
      <c r="O4" s="46" t="s">
        <v>395</v>
      </c>
      <c r="P4" s="46" t="s">
        <v>504</v>
      </c>
      <c r="Q4" s="46" t="s">
        <v>417</v>
      </c>
      <c r="R4" s="46" t="s">
        <v>418</v>
      </c>
      <c r="S4" s="5" t="s">
        <v>425</v>
      </c>
      <c r="T4" s="123" t="s">
        <v>162</v>
      </c>
      <c r="U4" s="120" t="s">
        <v>163</v>
      </c>
      <c r="W4" s="117"/>
      <c r="X4" s="273"/>
      <c r="Y4" s="273"/>
      <c r="Z4" s="273"/>
      <c r="AA4" s="273"/>
      <c r="AB4" s="274"/>
    </row>
    <row r="5" spans="1:29" ht="60.75" customHeight="1" x14ac:dyDescent="0.3">
      <c r="A5" s="88" t="s">
        <v>455</v>
      </c>
      <c r="B5" s="12" t="s">
        <v>409</v>
      </c>
      <c r="C5" s="39" t="s">
        <v>150</v>
      </c>
      <c r="D5" s="39" t="s">
        <v>389</v>
      </c>
      <c r="E5" s="44" t="s">
        <v>536</v>
      </c>
      <c r="F5" s="45" t="s">
        <v>392</v>
      </c>
      <c r="G5" s="46" t="s">
        <v>482</v>
      </c>
      <c r="H5" s="85" t="s">
        <v>388</v>
      </c>
      <c r="I5" s="84" t="s">
        <v>552</v>
      </c>
      <c r="J5" s="49" t="s">
        <v>73</v>
      </c>
      <c r="K5" s="47" t="s">
        <v>147</v>
      </c>
      <c r="L5" s="48" t="s">
        <v>146</v>
      </c>
      <c r="M5" s="87" t="s">
        <v>428</v>
      </c>
      <c r="N5" s="46" t="s">
        <v>103</v>
      </c>
      <c r="O5" s="46" t="s">
        <v>396</v>
      </c>
      <c r="P5" s="46" t="s">
        <v>505</v>
      </c>
      <c r="Q5" s="46" t="s">
        <v>418</v>
      </c>
      <c r="R5" s="46" t="s">
        <v>418</v>
      </c>
      <c r="S5" s="5" t="s">
        <v>423</v>
      </c>
      <c r="T5" s="123" t="s">
        <v>162</v>
      </c>
      <c r="U5" s="120" t="s">
        <v>163</v>
      </c>
    </row>
    <row r="6" spans="1:29" ht="27.9" customHeight="1" x14ac:dyDescent="0.3">
      <c r="A6" s="88" t="s">
        <v>456</v>
      </c>
      <c r="B6" s="12" t="s">
        <v>410</v>
      </c>
      <c r="C6" s="39" t="s">
        <v>150</v>
      </c>
      <c r="D6" s="39" t="s">
        <v>390</v>
      </c>
      <c r="E6" s="44" t="s">
        <v>386</v>
      </c>
      <c r="F6" s="45" t="s">
        <v>181</v>
      </c>
      <c r="G6" s="46" t="s">
        <v>482</v>
      </c>
      <c r="H6" s="85" t="s">
        <v>388</v>
      </c>
      <c r="I6" s="84" t="s">
        <v>552</v>
      </c>
      <c r="J6" s="49" t="s">
        <v>73</v>
      </c>
      <c r="K6" s="47" t="s">
        <v>147</v>
      </c>
      <c r="L6" s="48" t="s">
        <v>146</v>
      </c>
      <c r="M6" s="87" t="s">
        <v>426</v>
      </c>
      <c r="N6" s="46" t="s">
        <v>103</v>
      </c>
      <c r="O6" s="46" t="s">
        <v>396</v>
      </c>
      <c r="P6" s="46" t="s">
        <v>506</v>
      </c>
      <c r="Q6" s="46" t="s">
        <v>418</v>
      </c>
      <c r="R6" s="46" t="s">
        <v>419</v>
      </c>
      <c r="S6" s="5" t="s">
        <v>424</v>
      </c>
      <c r="T6" s="123" t="s">
        <v>162</v>
      </c>
      <c r="U6" s="120" t="s">
        <v>163</v>
      </c>
    </row>
    <row r="7" spans="1:29" ht="27.9" customHeight="1" x14ac:dyDescent="0.3">
      <c r="A7" s="88" t="s">
        <v>457</v>
      </c>
      <c r="B7" s="12" t="s">
        <v>411</v>
      </c>
      <c r="C7" s="39" t="s">
        <v>113</v>
      </c>
      <c r="D7" s="39" t="s">
        <v>390</v>
      </c>
      <c r="E7" s="44" t="s">
        <v>387</v>
      </c>
      <c r="F7" s="45" t="s">
        <v>181</v>
      </c>
      <c r="G7" s="46" t="s">
        <v>483</v>
      </c>
      <c r="H7" s="85" t="s">
        <v>388</v>
      </c>
      <c r="I7" s="84" t="s">
        <v>552</v>
      </c>
      <c r="J7" s="49" t="s">
        <v>73</v>
      </c>
      <c r="K7" s="47" t="s">
        <v>147</v>
      </c>
      <c r="L7" s="48" t="s">
        <v>146</v>
      </c>
      <c r="M7" s="87" t="s">
        <v>426</v>
      </c>
      <c r="N7" s="46" t="s">
        <v>103</v>
      </c>
      <c r="O7" s="46" t="s">
        <v>397</v>
      </c>
      <c r="P7" s="46" t="s">
        <v>398</v>
      </c>
      <c r="Q7" s="46" t="s">
        <v>419</v>
      </c>
      <c r="R7" s="46" t="s">
        <v>419</v>
      </c>
      <c r="S7" s="5" t="s">
        <v>424</v>
      </c>
      <c r="T7" s="123" t="s">
        <v>162</v>
      </c>
      <c r="U7" s="120" t="s">
        <v>163</v>
      </c>
    </row>
    <row r="8" spans="1:29" ht="27.9" customHeight="1" x14ac:dyDescent="0.3">
      <c r="A8" s="88" t="s">
        <v>458</v>
      </c>
      <c r="B8" s="12" t="s">
        <v>408</v>
      </c>
      <c r="C8" s="39" t="s">
        <v>149</v>
      </c>
      <c r="D8" s="39" t="s">
        <v>389</v>
      </c>
      <c r="E8" s="44" t="s">
        <v>384</v>
      </c>
      <c r="F8" s="45" t="s">
        <v>180</v>
      </c>
      <c r="G8" s="46" t="s">
        <v>482</v>
      </c>
      <c r="H8" s="85" t="s">
        <v>388</v>
      </c>
      <c r="I8" s="142" t="s">
        <v>553</v>
      </c>
      <c r="J8" s="86" t="s">
        <v>496</v>
      </c>
      <c r="K8" s="47" t="s">
        <v>145</v>
      </c>
      <c r="L8" s="48" t="s">
        <v>146</v>
      </c>
      <c r="M8" s="87" t="s">
        <v>428</v>
      </c>
      <c r="N8" s="46" t="s">
        <v>103</v>
      </c>
      <c r="O8" s="83" t="s">
        <v>402</v>
      </c>
      <c r="P8" s="83" t="s">
        <v>401</v>
      </c>
      <c r="Q8" s="46" t="s">
        <v>417</v>
      </c>
      <c r="R8" s="46" t="s">
        <v>418</v>
      </c>
      <c r="S8" s="5" t="s">
        <v>425</v>
      </c>
      <c r="T8" s="123" t="s">
        <v>162</v>
      </c>
      <c r="U8" s="120" t="s">
        <v>163</v>
      </c>
    </row>
    <row r="9" spans="1:29" ht="27.9" customHeight="1" x14ac:dyDescent="0.3">
      <c r="A9" s="88" t="s">
        <v>459</v>
      </c>
      <c r="B9" s="12" t="s">
        <v>412</v>
      </c>
      <c r="C9" s="39" t="s">
        <v>150</v>
      </c>
      <c r="D9" s="39" t="s">
        <v>389</v>
      </c>
      <c r="E9" s="44" t="s">
        <v>385</v>
      </c>
      <c r="F9" s="45" t="s">
        <v>392</v>
      </c>
      <c r="G9" s="46" t="s">
        <v>482</v>
      </c>
      <c r="H9" s="85" t="s">
        <v>388</v>
      </c>
      <c r="I9" s="142" t="s">
        <v>553</v>
      </c>
      <c r="J9" s="86" t="s">
        <v>495</v>
      </c>
      <c r="K9" s="47" t="s">
        <v>147</v>
      </c>
      <c r="L9" s="48" t="s">
        <v>146</v>
      </c>
      <c r="M9" s="87" t="s">
        <v>428</v>
      </c>
      <c r="N9" s="46" t="s">
        <v>103</v>
      </c>
      <c r="O9" s="83" t="s">
        <v>403</v>
      </c>
      <c r="P9" s="83" t="s">
        <v>400</v>
      </c>
      <c r="Q9" s="46" t="s">
        <v>418</v>
      </c>
      <c r="R9" s="46" t="s">
        <v>418</v>
      </c>
      <c r="S9" s="5" t="s">
        <v>423</v>
      </c>
      <c r="T9" s="123" t="s">
        <v>162</v>
      </c>
      <c r="U9" s="120" t="s">
        <v>163</v>
      </c>
    </row>
    <row r="10" spans="1:29" ht="27.9" customHeight="1" x14ac:dyDescent="0.3">
      <c r="A10" s="88" t="s">
        <v>460</v>
      </c>
      <c r="B10" s="12" t="s">
        <v>413</v>
      </c>
      <c r="C10" s="39" t="s">
        <v>150</v>
      </c>
      <c r="D10" s="39" t="s">
        <v>390</v>
      </c>
      <c r="E10" s="44" t="s">
        <v>386</v>
      </c>
      <c r="F10" s="45" t="s">
        <v>181</v>
      </c>
      <c r="G10" s="46" t="s">
        <v>482</v>
      </c>
      <c r="H10" s="85" t="s">
        <v>388</v>
      </c>
      <c r="I10" s="142" t="s">
        <v>553</v>
      </c>
      <c r="J10" s="86" t="s">
        <v>497</v>
      </c>
      <c r="K10" s="47" t="s">
        <v>147</v>
      </c>
      <c r="L10" s="48" t="s">
        <v>146</v>
      </c>
      <c r="M10" s="87" t="s">
        <v>426</v>
      </c>
      <c r="N10" s="46" t="s">
        <v>103</v>
      </c>
      <c r="O10" s="83" t="s">
        <v>403</v>
      </c>
      <c r="P10" s="83" t="s">
        <v>400</v>
      </c>
      <c r="Q10" s="46" t="s">
        <v>418</v>
      </c>
      <c r="R10" s="46" t="s">
        <v>419</v>
      </c>
      <c r="S10" s="5" t="s">
        <v>424</v>
      </c>
      <c r="T10" s="123" t="s">
        <v>162</v>
      </c>
      <c r="U10" s="120" t="s">
        <v>163</v>
      </c>
    </row>
    <row r="11" spans="1:29" ht="27.9" customHeight="1" x14ac:dyDescent="0.3">
      <c r="A11" s="88" t="s">
        <v>461</v>
      </c>
      <c r="B11" s="12" t="s">
        <v>414</v>
      </c>
      <c r="C11" s="39" t="s">
        <v>113</v>
      </c>
      <c r="D11" s="39" t="s">
        <v>390</v>
      </c>
      <c r="E11" s="44" t="s">
        <v>387</v>
      </c>
      <c r="F11" s="45" t="s">
        <v>181</v>
      </c>
      <c r="G11" s="46" t="s">
        <v>483</v>
      </c>
      <c r="H11" s="85" t="s">
        <v>388</v>
      </c>
      <c r="I11" s="142" t="s">
        <v>553</v>
      </c>
      <c r="J11" s="86" t="s">
        <v>495</v>
      </c>
      <c r="K11" s="47" t="s">
        <v>147</v>
      </c>
      <c r="L11" s="48" t="s">
        <v>146</v>
      </c>
      <c r="M11" s="87" t="s">
        <v>426</v>
      </c>
      <c r="N11" s="46" t="s">
        <v>103</v>
      </c>
      <c r="O11" s="83" t="s">
        <v>404</v>
      </c>
      <c r="P11" s="83" t="s">
        <v>399</v>
      </c>
      <c r="Q11" s="46" t="s">
        <v>419</v>
      </c>
      <c r="R11" s="46" t="s">
        <v>419</v>
      </c>
      <c r="S11" s="5" t="s">
        <v>424</v>
      </c>
      <c r="T11" s="123" t="s">
        <v>162</v>
      </c>
      <c r="U11" s="120" t="s">
        <v>163</v>
      </c>
    </row>
    <row r="12" spans="1:29" ht="27.9" customHeight="1" thickBot="1" x14ac:dyDescent="0.35">
      <c r="A12" s="88" t="s">
        <v>430</v>
      </c>
      <c r="B12" s="12" t="s">
        <v>430</v>
      </c>
      <c r="C12" s="39" t="s">
        <v>78</v>
      </c>
      <c r="D12" s="39" t="s">
        <v>151</v>
      </c>
      <c r="E12" s="44" t="s">
        <v>382</v>
      </c>
      <c r="F12" s="45" t="s">
        <v>179</v>
      </c>
      <c r="G12" s="46" t="s">
        <v>103</v>
      </c>
      <c r="H12" s="85" t="s">
        <v>148</v>
      </c>
      <c r="I12" s="84" t="s">
        <v>554</v>
      </c>
      <c r="J12" s="49" t="s">
        <v>73</v>
      </c>
      <c r="K12" s="47" t="s">
        <v>145</v>
      </c>
      <c r="L12" s="48" t="s">
        <v>73</v>
      </c>
      <c r="M12" s="87" t="s">
        <v>427</v>
      </c>
      <c r="N12" s="46" t="s">
        <v>103</v>
      </c>
      <c r="O12" s="85" t="s">
        <v>153</v>
      </c>
      <c r="P12" s="122" t="s">
        <v>436</v>
      </c>
      <c r="Q12" s="46" t="s">
        <v>415</v>
      </c>
      <c r="R12" s="46" t="s">
        <v>417</v>
      </c>
      <c r="S12" s="5" t="s">
        <v>422</v>
      </c>
      <c r="T12" s="120" t="s">
        <v>169</v>
      </c>
      <c r="U12" s="126" t="s">
        <v>475</v>
      </c>
      <c r="V12" s="126"/>
      <c r="W12" s="127"/>
      <c r="X12" s="127"/>
      <c r="Y12" s="339"/>
      <c r="Z12" s="339"/>
      <c r="AA12" s="339"/>
      <c r="AB12" s="339"/>
      <c r="AC12" s="340"/>
    </row>
    <row r="13" spans="1:29" ht="27.9" customHeight="1" thickBot="1" x14ac:dyDescent="0.35">
      <c r="A13" s="88" t="s">
        <v>431</v>
      </c>
      <c r="B13" s="12" t="s">
        <v>431</v>
      </c>
      <c r="C13" s="39" t="s">
        <v>112</v>
      </c>
      <c r="D13" s="39" t="s">
        <v>151</v>
      </c>
      <c r="E13" s="44" t="s">
        <v>383</v>
      </c>
      <c r="F13" s="45" t="s">
        <v>391</v>
      </c>
      <c r="G13" s="46" t="s">
        <v>103</v>
      </c>
      <c r="H13" s="85" t="s">
        <v>148</v>
      </c>
      <c r="I13" s="84" t="s">
        <v>554</v>
      </c>
      <c r="J13" s="49" t="s">
        <v>73</v>
      </c>
      <c r="K13" s="47" t="s">
        <v>145</v>
      </c>
      <c r="L13" s="48" t="s">
        <v>73</v>
      </c>
      <c r="M13" s="87" t="s">
        <v>427</v>
      </c>
      <c r="N13" s="46" t="s">
        <v>103</v>
      </c>
      <c r="O13" s="85" t="s">
        <v>153</v>
      </c>
      <c r="P13" s="46" t="s">
        <v>436</v>
      </c>
      <c r="Q13" s="46" t="s">
        <v>416</v>
      </c>
      <c r="R13" s="46" t="s">
        <v>417</v>
      </c>
      <c r="S13" s="5" t="s">
        <v>422</v>
      </c>
      <c r="T13" s="120" t="s">
        <v>169</v>
      </c>
      <c r="U13" s="126" t="s">
        <v>475</v>
      </c>
      <c r="W13" s="120"/>
      <c r="X13" s="120"/>
      <c r="Y13" s="120"/>
      <c r="Z13" s="120"/>
      <c r="AA13" s="121"/>
    </row>
    <row r="14" spans="1:29" ht="27.9" customHeight="1" thickBot="1" x14ac:dyDescent="0.35">
      <c r="A14" s="88" t="s">
        <v>462</v>
      </c>
      <c r="B14" s="12" t="s">
        <v>432</v>
      </c>
      <c r="C14" s="39" t="s">
        <v>149</v>
      </c>
      <c r="D14" s="39" t="s">
        <v>389</v>
      </c>
      <c r="E14" s="44" t="s">
        <v>384</v>
      </c>
      <c r="F14" s="45" t="s">
        <v>180</v>
      </c>
      <c r="G14" s="46" t="s">
        <v>103</v>
      </c>
      <c r="H14" s="85" t="s">
        <v>148</v>
      </c>
      <c r="I14" s="84" t="s">
        <v>555</v>
      </c>
      <c r="J14" s="49" t="s">
        <v>73</v>
      </c>
      <c r="K14" s="47" t="s">
        <v>145</v>
      </c>
      <c r="L14" s="48" t="s">
        <v>73</v>
      </c>
      <c r="M14" s="87" t="s">
        <v>428</v>
      </c>
      <c r="N14" s="46" t="s">
        <v>103</v>
      </c>
      <c r="O14" s="85" t="s">
        <v>153</v>
      </c>
      <c r="P14" s="46" t="s">
        <v>436</v>
      </c>
      <c r="Q14" s="46" t="s">
        <v>417</v>
      </c>
      <c r="R14" s="46" t="s">
        <v>418</v>
      </c>
      <c r="S14" s="5" t="s">
        <v>425</v>
      </c>
      <c r="T14" s="120" t="s">
        <v>169</v>
      </c>
      <c r="U14" s="126" t="s">
        <v>475</v>
      </c>
    </row>
    <row r="15" spans="1:29" ht="27.9" customHeight="1" thickBot="1" x14ac:dyDescent="0.35">
      <c r="A15" s="88" t="s">
        <v>463</v>
      </c>
      <c r="B15" s="12" t="s">
        <v>433</v>
      </c>
      <c r="C15" s="39" t="s">
        <v>150</v>
      </c>
      <c r="D15" s="39" t="s">
        <v>389</v>
      </c>
      <c r="E15" s="44" t="s">
        <v>385</v>
      </c>
      <c r="F15" s="45" t="s">
        <v>392</v>
      </c>
      <c r="G15" s="46" t="s">
        <v>103</v>
      </c>
      <c r="H15" s="85" t="s">
        <v>148</v>
      </c>
      <c r="I15" s="84" t="s">
        <v>555</v>
      </c>
      <c r="J15" s="49" t="s">
        <v>73</v>
      </c>
      <c r="K15" s="47" t="s">
        <v>147</v>
      </c>
      <c r="L15" s="48" t="s">
        <v>73</v>
      </c>
      <c r="M15" s="87" t="s">
        <v>428</v>
      </c>
      <c r="N15" s="46" t="s">
        <v>103</v>
      </c>
      <c r="O15" s="85" t="s">
        <v>153</v>
      </c>
      <c r="P15" s="46" t="s">
        <v>436</v>
      </c>
      <c r="Q15" s="46" t="s">
        <v>418</v>
      </c>
      <c r="R15" s="46" t="s">
        <v>418</v>
      </c>
      <c r="S15" s="5" t="s">
        <v>423</v>
      </c>
      <c r="T15" s="120" t="s">
        <v>169</v>
      </c>
      <c r="U15" s="126" t="s">
        <v>475</v>
      </c>
    </row>
    <row r="16" spans="1:29" ht="27.9" customHeight="1" thickBot="1" x14ac:dyDescent="0.35">
      <c r="A16" s="88" t="s">
        <v>464</v>
      </c>
      <c r="B16" s="12" t="s">
        <v>434</v>
      </c>
      <c r="C16" s="39" t="s">
        <v>150</v>
      </c>
      <c r="D16" s="39" t="s">
        <v>390</v>
      </c>
      <c r="E16" s="44" t="s">
        <v>386</v>
      </c>
      <c r="F16" s="45" t="s">
        <v>181</v>
      </c>
      <c r="G16" s="46" t="s">
        <v>103</v>
      </c>
      <c r="H16" s="85" t="s">
        <v>148</v>
      </c>
      <c r="I16" s="84" t="s">
        <v>555</v>
      </c>
      <c r="J16" s="49" t="s">
        <v>73</v>
      </c>
      <c r="K16" s="47" t="s">
        <v>147</v>
      </c>
      <c r="L16" s="48" t="s">
        <v>73</v>
      </c>
      <c r="M16" s="87" t="s">
        <v>426</v>
      </c>
      <c r="N16" s="46" t="s">
        <v>103</v>
      </c>
      <c r="O16" s="85" t="s">
        <v>153</v>
      </c>
      <c r="P16" s="46" t="s">
        <v>436</v>
      </c>
      <c r="Q16" s="46" t="s">
        <v>418</v>
      </c>
      <c r="R16" s="46" t="s">
        <v>419</v>
      </c>
      <c r="S16" s="5" t="s">
        <v>424</v>
      </c>
      <c r="T16" s="120" t="s">
        <v>169</v>
      </c>
      <c r="U16" s="126" t="s">
        <v>475</v>
      </c>
    </row>
    <row r="17" spans="1:21" ht="27.9" customHeight="1" thickBot="1" x14ac:dyDescent="0.35">
      <c r="A17" s="88" t="s">
        <v>465</v>
      </c>
      <c r="B17" s="12" t="s">
        <v>435</v>
      </c>
      <c r="C17" s="39" t="s">
        <v>150</v>
      </c>
      <c r="D17" s="39" t="s">
        <v>390</v>
      </c>
      <c r="E17" s="44" t="s">
        <v>387</v>
      </c>
      <c r="F17" s="45" t="s">
        <v>181</v>
      </c>
      <c r="G17" s="46" t="s">
        <v>103</v>
      </c>
      <c r="H17" s="85" t="s">
        <v>148</v>
      </c>
      <c r="I17" s="84" t="s">
        <v>555</v>
      </c>
      <c r="J17" s="49" t="s">
        <v>73</v>
      </c>
      <c r="K17" s="47" t="s">
        <v>147</v>
      </c>
      <c r="L17" s="48" t="s">
        <v>73</v>
      </c>
      <c r="M17" s="87" t="s">
        <v>426</v>
      </c>
      <c r="N17" s="46" t="s">
        <v>103</v>
      </c>
      <c r="O17" s="85" t="s">
        <v>153</v>
      </c>
      <c r="P17" s="46" t="s">
        <v>436</v>
      </c>
      <c r="Q17" s="46" t="s">
        <v>419</v>
      </c>
      <c r="R17" s="46" t="s">
        <v>419</v>
      </c>
      <c r="S17" s="5" t="s">
        <v>424</v>
      </c>
      <c r="T17" s="120" t="s">
        <v>169</v>
      </c>
      <c r="U17" s="126" t="s">
        <v>475</v>
      </c>
    </row>
    <row r="20" spans="1:21" ht="240.75" customHeight="1" x14ac:dyDescent="0.3">
      <c r="D20" s="164" t="s">
        <v>558</v>
      </c>
      <c r="E20" s="165" t="s">
        <v>561</v>
      </c>
      <c r="F20" s="120"/>
      <c r="G20" s="120"/>
    </row>
    <row r="21" spans="1:21" ht="113.25" customHeight="1" x14ac:dyDescent="0.3">
      <c r="D21" s="164" t="s">
        <v>559</v>
      </c>
      <c r="E21" s="120" t="s">
        <v>560</v>
      </c>
    </row>
    <row r="22" spans="1:21" ht="27.9" customHeight="1" x14ac:dyDescent="0.3">
      <c r="A22" s="285"/>
      <c r="B22" s="276"/>
      <c r="C22" s="276"/>
    </row>
    <row r="37" spans="5:6" ht="27.9" customHeight="1" x14ac:dyDescent="0.3">
      <c r="E37" s="174"/>
    </row>
    <row r="38" spans="5:6" ht="27.9" customHeight="1" x14ac:dyDescent="0.3">
      <c r="E38" s="174" t="s">
        <v>568</v>
      </c>
      <c r="F38" s="5" t="s">
        <v>567</v>
      </c>
    </row>
    <row r="39" spans="5:6" ht="27.9" customHeight="1" x14ac:dyDescent="0.3">
      <c r="E39" s="174" t="s">
        <v>569</v>
      </c>
      <c r="F39" s="5" t="s">
        <v>567</v>
      </c>
    </row>
    <row r="40" spans="5:6" ht="27.9" customHeight="1" x14ac:dyDescent="0.3">
      <c r="E40" s="175" t="s">
        <v>570</v>
      </c>
      <c r="F40" s="5" t="s">
        <v>567</v>
      </c>
    </row>
    <row r="41" spans="5:6" ht="27.9" customHeight="1" x14ac:dyDescent="0.3">
      <c r="E41" s="176" t="s">
        <v>571</v>
      </c>
      <c r="F41" s="5" t="s">
        <v>567</v>
      </c>
    </row>
    <row r="42" spans="5:6" ht="27.9" customHeight="1" x14ac:dyDescent="0.3">
      <c r="E42" s="176" t="s">
        <v>572</v>
      </c>
      <c r="F42" s="5" t="s">
        <v>567</v>
      </c>
    </row>
    <row r="43" spans="5:6" ht="27.9" customHeight="1" x14ac:dyDescent="0.3">
      <c r="E43" s="175" t="s">
        <v>573</v>
      </c>
      <c r="F43" s="5" t="s">
        <v>567</v>
      </c>
    </row>
    <row r="44" spans="5:6" ht="27.9" customHeight="1" x14ac:dyDescent="0.3">
      <c r="E44" s="176" t="s">
        <v>574</v>
      </c>
      <c r="F44" s="5" t="s">
        <v>567</v>
      </c>
    </row>
    <row r="45" spans="5:6" ht="27.9" customHeight="1" x14ac:dyDescent="0.3">
      <c r="E45" s="175" t="s">
        <v>577</v>
      </c>
      <c r="F45" s="5" t="s">
        <v>567</v>
      </c>
    </row>
    <row r="46" spans="5:6" ht="27.9" customHeight="1" x14ac:dyDescent="0.3">
      <c r="E46" s="175" t="s">
        <v>575</v>
      </c>
      <c r="F46" s="5" t="s">
        <v>576</v>
      </c>
    </row>
  </sheetData>
  <autoFilter ref="A1:S17" xr:uid="{00000000-0001-0000-0700-000000000000}"/>
  <mergeCells count="3">
    <mergeCell ref="X4:AB4"/>
    <mergeCell ref="Y12:AC12"/>
    <mergeCell ref="A22:C22"/>
  </mergeCells>
  <pageMargins left="0.7" right="0.7" top="0.75" bottom="0.75" header="0.3" footer="0.3"/>
  <pageSetup orientation="portrait" r:id="rId1"/>
  <headerFooter>
    <oddFooter>&amp;L_x000D_&amp;1#&amp;"Calibri"&amp;10&amp;K000000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S165"/>
  <sheetViews>
    <sheetView workbookViewId="0">
      <selection activeCell="F14" sqref="F14"/>
    </sheetView>
  </sheetViews>
  <sheetFormatPr defaultColWidth="18" defaultRowHeight="14.4" x14ac:dyDescent="0.3"/>
  <cols>
    <col min="9" max="9" width="30.109375" bestFit="1" customWidth="1"/>
    <col min="10" max="10" width="7.5546875" bestFit="1" customWidth="1"/>
    <col min="11" max="14" width="16.88671875" customWidth="1"/>
    <col min="15" max="15" width="27.109375" bestFit="1" customWidth="1"/>
    <col min="16" max="19" width="30.109375" customWidth="1"/>
  </cols>
  <sheetData>
    <row r="1" spans="1:19" x14ac:dyDescent="0.3">
      <c r="P1" t="s">
        <v>444</v>
      </c>
      <c r="Q1" s="101">
        <v>0.12</v>
      </c>
    </row>
    <row r="2" spans="1:19" x14ac:dyDescent="0.3">
      <c r="F2" s="102" t="s">
        <v>382</v>
      </c>
      <c r="G2" s="101">
        <v>0.2</v>
      </c>
      <c r="P2" t="s">
        <v>445</v>
      </c>
      <c r="Q2" s="101">
        <v>7.0000000000000007E-2</v>
      </c>
    </row>
    <row r="3" spans="1:19" x14ac:dyDescent="0.3">
      <c r="F3" s="103" t="s">
        <v>384</v>
      </c>
      <c r="G3" s="101">
        <v>-0.15</v>
      </c>
      <c r="P3" t="s">
        <v>446</v>
      </c>
      <c r="Q3" s="101">
        <v>7.0000000000000007E-2</v>
      </c>
    </row>
    <row r="4" spans="1:19" x14ac:dyDescent="0.3">
      <c r="P4" t="s">
        <v>387</v>
      </c>
      <c r="Q4" s="101">
        <v>0.08</v>
      </c>
    </row>
    <row r="5" spans="1:19" x14ac:dyDescent="0.3">
      <c r="A5" s="104" t="s">
        <v>114</v>
      </c>
      <c r="B5" s="105" t="s">
        <v>0</v>
      </c>
      <c r="C5" s="105" t="s">
        <v>23</v>
      </c>
      <c r="D5" s="105" t="s">
        <v>18</v>
      </c>
      <c r="E5" s="105" t="s">
        <v>453</v>
      </c>
      <c r="F5" s="105" t="s">
        <v>439</v>
      </c>
      <c r="G5" s="105" t="s">
        <v>447</v>
      </c>
      <c r="H5" s="105" t="s">
        <v>378</v>
      </c>
      <c r="I5" s="105" t="s">
        <v>448</v>
      </c>
      <c r="J5" s="106"/>
      <c r="K5" s="107" t="s">
        <v>114</v>
      </c>
      <c r="L5" s="105" t="s">
        <v>0</v>
      </c>
      <c r="M5" s="105" t="s">
        <v>23</v>
      </c>
      <c r="N5" s="105" t="s">
        <v>18</v>
      </c>
      <c r="O5" s="105" t="s">
        <v>453</v>
      </c>
      <c r="P5" s="105" t="s">
        <v>449</v>
      </c>
      <c r="Q5" s="105" t="s">
        <v>56</v>
      </c>
      <c r="R5" s="105" t="s">
        <v>450</v>
      </c>
      <c r="S5" s="105" t="s">
        <v>451</v>
      </c>
    </row>
    <row r="6" spans="1:19" x14ac:dyDescent="0.3">
      <c r="A6" s="108" t="s">
        <v>452</v>
      </c>
      <c r="B6" s="103" t="s">
        <v>382</v>
      </c>
      <c r="C6" s="94" t="s">
        <v>45</v>
      </c>
      <c r="D6" s="94" t="s">
        <v>5</v>
      </c>
      <c r="E6" s="94" t="str">
        <f>CONCATENATE(A6," ",B6," ",C6)</f>
        <v>Not Applicable HN Exclusive 00-17</v>
      </c>
      <c r="F6" s="82">
        <f t="shared" ref="F6:H19" si="0">F20+(F20*$G$2)</f>
        <v>4840</v>
      </c>
      <c r="G6" s="82">
        <f t="shared" si="0"/>
        <v>0</v>
      </c>
      <c r="H6" s="82">
        <f t="shared" si="0"/>
        <v>2160</v>
      </c>
      <c r="I6" s="82">
        <f t="shared" ref="I6:I12" si="1">F6-G6</f>
        <v>4840</v>
      </c>
      <c r="J6" s="93"/>
      <c r="K6" s="109" t="s">
        <v>405</v>
      </c>
      <c r="L6" s="103" t="s">
        <v>382</v>
      </c>
      <c r="M6" s="94" t="s">
        <v>45</v>
      </c>
      <c r="N6" s="94" t="s">
        <v>5</v>
      </c>
      <c r="O6" s="94" t="str">
        <f>CONCATENATE(K6," ",L6," ",M6)</f>
        <v>Prime Plan-1 HN Exclusive 00-17</v>
      </c>
      <c r="P6" s="110">
        <f t="shared" ref="P6:P20" si="2">F6+(F6*$Q$1)</f>
        <v>5421</v>
      </c>
      <c r="Q6" s="110">
        <f t="shared" ref="Q6:Q20" si="3">G6+(G6*$Q$1)</f>
        <v>0</v>
      </c>
      <c r="R6" s="110">
        <f t="shared" ref="R6:R20" si="4">H6+(H6*$Q$1)</f>
        <v>2419</v>
      </c>
      <c r="S6" s="110">
        <f>P6-Q6</f>
        <v>5421</v>
      </c>
    </row>
    <row r="7" spans="1:19" x14ac:dyDescent="0.3">
      <c r="A7" s="108" t="s">
        <v>452</v>
      </c>
      <c r="B7" s="103" t="s">
        <v>382</v>
      </c>
      <c r="C7" s="94" t="s">
        <v>46</v>
      </c>
      <c r="D7" s="94" t="s">
        <v>5</v>
      </c>
      <c r="E7" s="94" t="str">
        <f t="shared" ref="E7:E70" si="5">CONCATENATE(A7," ",B7," ",C7)</f>
        <v>Not Applicable HN Exclusive 18-35</v>
      </c>
      <c r="F7" s="82">
        <f t="shared" si="0"/>
        <v>5549</v>
      </c>
      <c r="G7" s="82">
        <f t="shared" si="0"/>
        <v>300</v>
      </c>
      <c r="H7" s="82">
        <f t="shared" si="0"/>
        <v>2160</v>
      </c>
      <c r="I7" s="82">
        <f t="shared" si="1"/>
        <v>5249</v>
      </c>
      <c r="J7" s="93"/>
      <c r="K7" s="109" t="s">
        <v>405</v>
      </c>
      <c r="L7" s="103" t="s">
        <v>382</v>
      </c>
      <c r="M7" s="94" t="s">
        <v>46</v>
      </c>
      <c r="N7" s="94" t="s">
        <v>5</v>
      </c>
      <c r="O7" s="94" t="str">
        <f t="shared" ref="O7:O70" si="6">CONCATENATE(K7," ",L7," ",M7)</f>
        <v>Prime Plan-1 HN Exclusive 18-35</v>
      </c>
      <c r="P7" s="110">
        <f t="shared" si="2"/>
        <v>6215</v>
      </c>
      <c r="Q7" s="110">
        <f t="shared" si="3"/>
        <v>336</v>
      </c>
      <c r="R7" s="110">
        <f t="shared" si="4"/>
        <v>2419</v>
      </c>
      <c r="S7" s="110">
        <f t="shared" ref="S7:S19" si="7">P7-Q7</f>
        <v>5879</v>
      </c>
    </row>
    <row r="8" spans="1:19" x14ac:dyDescent="0.3">
      <c r="A8" s="108" t="s">
        <v>452</v>
      </c>
      <c r="B8" s="103" t="s">
        <v>382</v>
      </c>
      <c r="C8" s="94" t="s">
        <v>47</v>
      </c>
      <c r="D8" s="94" t="s">
        <v>5</v>
      </c>
      <c r="E8" s="94" t="str">
        <f t="shared" si="5"/>
        <v>Not Applicable HN Exclusive 36-45</v>
      </c>
      <c r="F8" s="82">
        <f t="shared" si="0"/>
        <v>6521</v>
      </c>
      <c r="G8" s="82">
        <f t="shared" si="0"/>
        <v>420</v>
      </c>
      <c r="H8" s="82">
        <f t="shared" si="0"/>
        <v>2160</v>
      </c>
      <c r="I8" s="82">
        <f t="shared" si="1"/>
        <v>6101</v>
      </c>
      <c r="J8" s="93"/>
      <c r="K8" s="109" t="s">
        <v>405</v>
      </c>
      <c r="L8" s="103" t="s">
        <v>382</v>
      </c>
      <c r="M8" s="94" t="s">
        <v>47</v>
      </c>
      <c r="N8" s="94" t="s">
        <v>5</v>
      </c>
      <c r="O8" s="94" t="str">
        <f t="shared" si="6"/>
        <v>Prime Plan-1 HN Exclusive 36-45</v>
      </c>
      <c r="P8" s="110">
        <f t="shared" si="2"/>
        <v>7304</v>
      </c>
      <c r="Q8" s="110">
        <f t="shared" si="3"/>
        <v>470</v>
      </c>
      <c r="R8" s="110">
        <f t="shared" si="4"/>
        <v>2419</v>
      </c>
      <c r="S8" s="110">
        <f t="shared" si="7"/>
        <v>6834</v>
      </c>
    </row>
    <row r="9" spans="1:19" x14ac:dyDescent="0.3">
      <c r="A9" s="108" t="s">
        <v>452</v>
      </c>
      <c r="B9" s="103" t="s">
        <v>382</v>
      </c>
      <c r="C9" s="94" t="s">
        <v>48</v>
      </c>
      <c r="D9" s="94" t="s">
        <v>5</v>
      </c>
      <c r="E9" s="94" t="str">
        <f t="shared" si="5"/>
        <v>Not Applicable HN Exclusive 46-55</v>
      </c>
      <c r="F9" s="82">
        <f t="shared" si="0"/>
        <v>11136</v>
      </c>
      <c r="G9" s="82">
        <f t="shared" si="0"/>
        <v>420</v>
      </c>
      <c r="H9" s="82">
        <f t="shared" si="0"/>
        <v>2160</v>
      </c>
      <c r="I9" s="82">
        <f t="shared" si="1"/>
        <v>10716</v>
      </c>
      <c r="J9" s="93"/>
      <c r="K9" s="109" t="s">
        <v>405</v>
      </c>
      <c r="L9" s="103" t="s">
        <v>382</v>
      </c>
      <c r="M9" s="94" t="s">
        <v>48</v>
      </c>
      <c r="N9" s="94" t="s">
        <v>5</v>
      </c>
      <c r="O9" s="94" t="str">
        <f t="shared" si="6"/>
        <v>Prime Plan-1 HN Exclusive 46-55</v>
      </c>
      <c r="P9" s="110">
        <f t="shared" si="2"/>
        <v>12472</v>
      </c>
      <c r="Q9" s="110">
        <f t="shared" si="3"/>
        <v>470</v>
      </c>
      <c r="R9" s="110">
        <f t="shared" si="4"/>
        <v>2419</v>
      </c>
      <c r="S9" s="110">
        <f t="shared" si="7"/>
        <v>12002</v>
      </c>
    </row>
    <row r="10" spans="1:19" x14ac:dyDescent="0.3">
      <c r="A10" s="108" t="s">
        <v>452</v>
      </c>
      <c r="B10" s="103" t="s">
        <v>382</v>
      </c>
      <c r="C10" s="94" t="s">
        <v>9</v>
      </c>
      <c r="D10" s="94" t="s">
        <v>5</v>
      </c>
      <c r="E10" s="94" t="str">
        <f t="shared" si="5"/>
        <v>Not Applicable HN Exclusive 56-59</v>
      </c>
      <c r="F10" s="82">
        <f t="shared" si="0"/>
        <v>13790</v>
      </c>
      <c r="G10" s="82">
        <f t="shared" si="0"/>
        <v>420</v>
      </c>
      <c r="H10" s="82">
        <f t="shared" si="0"/>
        <v>2160</v>
      </c>
      <c r="I10" s="82">
        <f t="shared" si="1"/>
        <v>13370</v>
      </c>
      <c r="J10" s="93"/>
      <c r="K10" s="109" t="s">
        <v>405</v>
      </c>
      <c r="L10" s="103" t="s">
        <v>382</v>
      </c>
      <c r="M10" s="94" t="s">
        <v>9</v>
      </c>
      <c r="N10" s="94" t="s">
        <v>5</v>
      </c>
      <c r="O10" s="94" t="str">
        <f t="shared" si="6"/>
        <v>Prime Plan-1 HN Exclusive 56-59</v>
      </c>
      <c r="P10" s="110">
        <f t="shared" si="2"/>
        <v>15445</v>
      </c>
      <c r="Q10" s="110">
        <f t="shared" si="3"/>
        <v>470</v>
      </c>
      <c r="R10" s="110">
        <f t="shared" si="4"/>
        <v>2419</v>
      </c>
      <c r="S10" s="110">
        <f t="shared" si="7"/>
        <v>14975</v>
      </c>
    </row>
    <row r="11" spans="1:19" x14ac:dyDescent="0.3">
      <c r="A11" s="108" t="s">
        <v>452</v>
      </c>
      <c r="B11" s="103" t="s">
        <v>382</v>
      </c>
      <c r="C11" s="94" t="s">
        <v>438</v>
      </c>
      <c r="D11" s="94" t="s">
        <v>5</v>
      </c>
      <c r="E11" s="94" t="str">
        <f t="shared" si="5"/>
        <v>Not Applicable HN Exclusive 60 - 65</v>
      </c>
      <c r="F11" s="82">
        <f t="shared" si="0"/>
        <v>19811</v>
      </c>
      <c r="G11" s="82">
        <f t="shared" si="0"/>
        <v>420</v>
      </c>
      <c r="H11" s="82">
        <f t="shared" si="0"/>
        <v>2160</v>
      </c>
      <c r="I11" s="82">
        <f t="shared" si="1"/>
        <v>19391</v>
      </c>
      <c r="J11" s="93"/>
      <c r="K11" s="109" t="s">
        <v>405</v>
      </c>
      <c r="L11" s="103" t="s">
        <v>382</v>
      </c>
      <c r="M11" s="94" t="s">
        <v>438</v>
      </c>
      <c r="N11" s="94" t="s">
        <v>5</v>
      </c>
      <c r="O11" s="94" t="str">
        <f t="shared" si="6"/>
        <v>Prime Plan-1 HN Exclusive 60 - 65</v>
      </c>
      <c r="P11" s="110">
        <f t="shared" si="2"/>
        <v>22188</v>
      </c>
      <c r="Q11" s="110">
        <f t="shared" si="3"/>
        <v>470</v>
      </c>
      <c r="R11" s="110">
        <f t="shared" si="4"/>
        <v>2419</v>
      </c>
      <c r="S11" s="110">
        <f t="shared" si="7"/>
        <v>21718</v>
      </c>
    </row>
    <row r="12" spans="1:19" x14ac:dyDescent="0.3">
      <c r="A12" s="108" t="s">
        <v>452</v>
      </c>
      <c r="B12" s="103" t="s">
        <v>382</v>
      </c>
      <c r="C12" s="94" t="s">
        <v>52</v>
      </c>
      <c r="D12" s="111" t="s">
        <v>5</v>
      </c>
      <c r="E12" s="94" t="str">
        <f t="shared" si="5"/>
        <v>Not Applicable HN Exclusive 66 and above</v>
      </c>
      <c r="F12" s="82">
        <f t="shared" si="0"/>
        <v>30845</v>
      </c>
      <c r="G12" s="82">
        <f t="shared" si="0"/>
        <v>420</v>
      </c>
      <c r="H12" s="82">
        <f t="shared" si="0"/>
        <v>2160</v>
      </c>
      <c r="I12" s="82">
        <f t="shared" si="1"/>
        <v>30425</v>
      </c>
      <c r="J12" s="93"/>
      <c r="K12" s="109" t="s">
        <v>405</v>
      </c>
      <c r="L12" s="103" t="s">
        <v>382</v>
      </c>
      <c r="M12" s="94" t="s">
        <v>52</v>
      </c>
      <c r="N12" s="111" t="s">
        <v>5</v>
      </c>
      <c r="O12" s="94" t="str">
        <f t="shared" si="6"/>
        <v>Prime Plan-1 HN Exclusive 66 and above</v>
      </c>
      <c r="P12" s="110">
        <f t="shared" si="2"/>
        <v>34546</v>
      </c>
      <c r="Q12" s="110">
        <f t="shared" si="3"/>
        <v>470</v>
      </c>
      <c r="R12" s="110">
        <f t="shared" si="4"/>
        <v>2419</v>
      </c>
      <c r="S12" s="110">
        <f t="shared" si="7"/>
        <v>34076</v>
      </c>
    </row>
    <row r="13" spans="1:19" x14ac:dyDescent="0.3">
      <c r="A13" s="108" t="s">
        <v>452</v>
      </c>
      <c r="B13" s="103" t="s">
        <v>382</v>
      </c>
      <c r="C13" s="94" t="s">
        <v>45</v>
      </c>
      <c r="D13" s="94" t="s">
        <v>7</v>
      </c>
      <c r="E13" s="94" t="str">
        <f t="shared" si="5"/>
        <v>Not Applicable HN Exclusive 00-17</v>
      </c>
      <c r="F13" s="82">
        <f t="shared" si="0"/>
        <v>5081</v>
      </c>
      <c r="G13" s="82">
        <f t="shared" si="0"/>
        <v>420</v>
      </c>
      <c r="H13" s="82">
        <f t="shared" si="0"/>
        <v>2160</v>
      </c>
      <c r="I13" s="82">
        <f>F13</f>
        <v>5081</v>
      </c>
      <c r="J13" s="93"/>
      <c r="K13" s="109" t="s">
        <v>405</v>
      </c>
      <c r="L13" s="103" t="s">
        <v>382</v>
      </c>
      <c r="M13" s="94" t="s">
        <v>45</v>
      </c>
      <c r="N13" s="94" t="s">
        <v>7</v>
      </c>
      <c r="O13" s="94" t="str">
        <f t="shared" si="6"/>
        <v>Prime Plan-1 HN Exclusive 00-17</v>
      </c>
      <c r="P13" s="110">
        <f t="shared" si="2"/>
        <v>5691</v>
      </c>
      <c r="Q13" s="110">
        <f t="shared" si="3"/>
        <v>470</v>
      </c>
      <c r="R13" s="110">
        <f t="shared" si="4"/>
        <v>2419</v>
      </c>
      <c r="S13" s="110">
        <f t="shared" si="7"/>
        <v>5221</v>
      </c>
    </row>
    <row r="14" spans="1:19" x14ac:dyDescent="0.3">
      <c r="A14" s="108" t="s">
        <v>452</v>
      </c>
      <c r="B14" s="103" t="s">
        <v>382</v>
      </c>
      <c r="C14" s="94" t="s">
        <v>46</v>
      </c>
      <c r="D14" s="94" t="s">
        <v>7</v>
      </c>
      <c r="E14" s="94" t="str">
        <f t="shared" si="5"/>
        <v>Not Applicable HN Exclusive 18-35</v>
      </c>
      <c r="F14" s="82">
        <f t="shared" si="0"/>
        <v>8202</v>
      </c>
      <c r="G14" s="82">
        <f t="shared" si="0"/>
        <v>420</v>
      </c>
      <c r="H14" s="82">
        <f t="shared" si="0"/>
        <v>2160</v>
      </c>
      <c r="I14" s="82">
        <f>F14-H14</f>
        <v>6042</v>
      </c>
      <c r="J14" s="93"/>
      <c r="K14" s="109" t="s">
        <v>405</v>
      </c>
      <c r="L14" s="103" t="s">
        <v>382</v>
      </c>
      <c r="M14" s="94" t="s">
        <v>46</v>
      </c>
      <c r="N14" s="94" t="s">
        <v>7</v>
      </c>
      <c r="O14" s="94" t="str">
        <f t="shared" si="6"/>
        <v>Prime Plan-1 HN Exclusive 18-35</v>
      </c>
      <c r="P14" s="110">
        <f t="shared" si="2"/>
        <v>9186</v>
      </c>
      <c r="Q14" s="110">
        <f t="shared" si="3"/>
        <v>470</v>
      </c>
      <c r="R14" s="110">
        <f t="shared" si="4"/>
        <v>2419</v>
      </c>
      <c r="S14" s="110">
        <f t="shared" si="7"/>
        <v>8716</v>
      </c>
    </row>
    <row r="15" spans="1:19" x14ac:dyDescent="0.3">
      <c r="A15" s="108" t="s">
        <v>452</v>
      </c>
      <c r="B15" s="103" t="s">
        <v>382</v>
      </c>
      <c r="C15" s="94" t="s">
        <v>47</v>
      </c>
      <c r="D15" s="94" t="s">
        <v>7</v>
      </c>
      <c r="E15" s="94" t="str">
        <f t="shared" si="5"/>
        <v>Not Applicable HN Exclusive 36-45</v>
      </c>
      <c r="F15" s="82">
        <f t="shared" si="0"/>
        <v>9223</v>
      </c>
      <c r="G15" s="82">
        <f t="shared" si="0"/>
        <v>420</v>
      </c>
      <c r="H15" s="82">
        <f t="shared" si="0"/>
        <v>2160</v>
      </c>
      <c r="I15" s="82">
        <f>F15-H15</f>
        <v>7063</v>
      </c>
      <c r="J15" s="93"/>
      <c r="K15" s="109" t="s">
        <v>405</v>
      </c>
      <c r="L15" s="103" t="s">
        <v>382</v>
      </c>
      <c r="M15" s="94" t="s">
        <v>47</v>
      </c>
      <c r="N15" s="94" t="s">
        <v>7</v>
      </c>
      <c r="O15" s="94" t="str">
        <f t="shared" si="6"/>
        <v>Prime Plan-1 HN Exclusive 36-45</v>
      </c>
      <c r="P15" s="110">
        <f t="shared" si="2"/>
        <v>10330</v>
      </c>
      <c r="Q15" s="110">
        <f t="shared" si="3"/>
        <v>470</v>
      </c>
      <c r="R15" s="110">
        <f t="shared" si="4"/>
        <v>2419</v>
      </c>
      <c r="S15" s="110">
        <f t="shared" si="7"/>
        <v>9860</v>
      </c>
    </row>
    <row r="16" spans="1:19" x14ac:dyDescent="0.3">
      <c r="A16" s="108" t="s">
        <v>452</v>
      </c>
      <c r="B16" s="103" t="s">
        <v>382</v>
      </c>
      <c r="C16" s="94" t="s">
        <v>48</v>
      </c>
      <c r="D16" s="94" t="s">
        <v>7</v>
      </c>
      <c r="E16" s="94" t="str">
        <f t="shared" si="5"/>
        <v>Not Applicable HN Exclusive 46-55</v>
      </c>
      <c r="F16" s="82">
        <f t="shared" si="0"/>
        <v>12683</v>
      </c>
      <c r="G16" s="82">
        <f t="shared" si="0"/>
        <v>420</v>
      </c>
      <c r="H16" s="82">
        <f t="shared" si="0"/>
        <v>2160</v>
      </c>
      <c r="I16" s="82">
        <f>F16</f>
        <v>12683</v>
      </c>
      <c r="J16" s="93"/>
      <c r="K16" s="109" t="s">
        <v>405</v>
      </c>
      <c r="L16" s="103" t="s">
        <v>382</v>
      </c>
      <c r="M16" s="94" t="s">
        <v>48</v>
      </c>
      <c r="N16" s="94" t="s">
        <v>7</v>
      </c>
      <c r="O16" s="94" t="str">
        <f t="shared" si="6"/>
        <v>Prime Plan-1 HN Exclusive 46-55</v>
      </c>
      <c r="P16" s="110">
        <f t="shared" si="2"/>
        <v>14205</v>
      </c>
      <c r="Q16" s="110">
        <f t="shared" si="3"/>
        <v>470</v>
      </c>
      <c r="R16" s="110">
        <f t="shared" si="4"/>
        <v>2419</v>
      </c>
      <c r="S16" s="110">
        <f t="shared" si="7"/>
        <v>13735</v>
      </c>
    </row>
    <row r="17" spans="1:19" x14ac:dyDescent="0.3">
      <c r="A17" s="108" t="s">
        <v>452</v>
      </c>
      <c r="B17" s="103" t="s">
        <v>382</v>
      </c>
      <c r="C17" s="94" t="s">
        <v>9</v>
      </c>
      <c r="D17" s="94" t="s">
        <v>7</v>
      </c>
      <c r="E17" s="94" t="str">
        <f t="shared" si="5"/>
        <v>Not Applicable HN Exclusive 56-59</v>
      </c>
      <c r="F17" s="82">
        <f t="shared" si="0"/>
        <v>15865</v>
      </c>
      <c r="G17" s="82">
        <f t="shared" si="0"/>
        <v>420</v>
      </c>
      <c r="H17" s="82">
        <f t="shared" si="0"/>
        <v>2160</v>
      </c>
      <c r="I17" s="82">
        <f>F17</f>
        <v>15865</v>
      </c>
      <c r="J17" s="93"/>
      <c r="K17" s="109" t="s">
        <v>405</v>
      </c>
      <c r="L17" s="103" t="s">
        <v>382</v>
      </c>
      <c r="M17" s="94" t="s">
        <v>9</v>
      </c>
      <c r="N17" s="94" t="s">
        <v>7</v>
      </c>
      <c r="O17" s="94" t="str">
        <f t="shared" si="6"/>
        <v>Prime Plan-1 HN Exclusive 56-59</v>
      </c>
      <c r="P17" s="110">
        <f t="shared" si="2"/>
        <v>17769</v>
      </c>
      <c r="Q17" s="110">
        <f t="shared" si="3"/>
        <v>470</v>
      </c>
      <c r="R17" s="110">
        <f t="shared" si="4"/>
        <v>2419</v>
      </c>
      <c r="S17" s="110">
        <f t="shared" si="7"/>
        <v>17299</v>
      </c>
    </row>
    <row r="18" spans="1:19" x14ac:dyDescent="0.3">
      <c r="A18" s="108" t="s">
        <v>452</v>
      </c>
      <c r="B18" s="103" t="s">
        <v>382</v>
      </c>
      <c r="C18" s="94" t="s">
        <v>438</v>
      </c>
      <c r="D18" s="94" t="s">
        <v>7</v>
      </c>
      <c r="E18" s="94" t="str">
        <f t="shared" si="5"/>
        <v>Not Applicable HN Exclusive 60 - 65</v>
      </c>
      <c r="F18" s="82">
        <f t="shared" si="0"/>
        <v>20801</v>
      </c>
      <c r="G18" s="82">
        <f t="shared" si="0"/>
        <v>420</v>
      </c>
      <c r="H18" s="82">
        <f t="shared" si="0"/>
        <v>2160</v>
      </c>
      <c r="I18" s="82">
        <f>F18</f>
        <v>20801</v>
      </c>
      <c r="J18" s="93"/>
      <c r="K18" s="109" t="s">
        <v>405</v>
      </c>
      <c r="L18" s="103" t="s">
        <v>382</v>
      </c>
      <c r="M18" s="94" t="s">
        <v>438</v>
      </c>
      <c r="N18" s="94" t="s">
        <v>7</v>
      </c>
      <c r="O18" s="94" t="str">
        <f t="shared" si="6"/>
        <v>Prime Plan-1 HN Exclusive 60 - 65</v>
      </c>
      <c r="P18" s="110">
        <f t="shared" si="2"/>
        <v>23297</v>
      </c>
      <c r="Q18" s="110">
        <f t="shared" si="3"/>
        <v>470</v>
      </c>
      <c r="R18" s="110">
        <f t="shared" si="4"/>
        <v>2419</v>
      </c>
      <c r="S18" s="110">
        <f t="shared" si="7"/>
        <v>22827</v>
      </c>
    </row>
    <row r="19" spans="1:19" x14ac:dyDescent="0.3">
      <c r="A19" s="108" t="s">
        <v>452</v>
      </c>
      <c r="B19" s="103" t="s">
        <v>382</v>
      </c>
      <c r="C19" s="94" t="s">
        <v>52</v>
      </c>
      <c r="D19" s="94" t="s">
        <v>7</v>
      </c>
      <c r="E19" s="94" t="str">
        <f t="shared" si="5"/>
        <v>Not Applicable HN Exclusive 66 and above</v>
      </c>
      <c r="F19" s="82">
        <f t="shared" si="0"/>
        <v>32387</v>
      </c>
      <c r="G19" s="82">
        <f t="shared" si="0"/>
        <v>420</v>
      </c>
      <c r="H19" s="82">
        <f t="shared" si="0"/>
        <v>2160</v>
      </c>
      <c r="I19" s="82">
        <f>F19</f>
        <v>32387</v>
      </c>
      <c r="J19" s="93"/>
      <c r="K19" s="109" t="s">
        <v>405</v>
      </c>
      <c r="L19" s="103" t="s">
        <v>382</v>
      </c>
      <c r="M19" s="94" t="s">
        <v>52</v>
      </c>
      <c r="N19" s="94" t="s">
        <v>7</v>
      </c>
      <c r="O19" s="94" t="str">
        <f t="shared" si="6"/>
        <v>Prime Plan-1 HN Exclusive 66 and above</v>
      </c>
      <c r="P19" s="110">
        <f t="shared" si="2"/>
        <v>36273</v>
      </c>
      <c r="Q19" s="110">
        <f t="shared" si="3"/>
        <v>470</v>
      </c>
      <c r="R19" s="110">
        <f t="shared" si="4"/>
        <v>2419</v>
      </c>
      <c r="S19" s="110">
        <f t="shared" si="7"/>
        <v>35803</v>
      </c>
    </row>
    <row r="20" spans="1:19" x14ac:dyDescent="0.3">
      <c r="A20" s="108" t="s">
        <v>452</v>
      </c>
      <c r="B20" s="103" t="s">
        <v>383</v>
      </c>
      <c r="C20" s="94" t="s">
        <v>45</v>
      </c>
      <c r="D20" s="94" t="s">
        <v>5</v>
      </c>
      <c r="E20" s="94" t="str">
        <f t="shared" si="5"/>
        <v>Not Applicable HN Premier 00-17</v>
      </c>
      <c r="F20" s="95">
        <v>4033</v>
      </c>
      <c r="G20" s="95"/>
      <c r="H20" s="95">
        <v>1800</v>
      </c>
      <c r="I20" s="82">
        <f>F20-G20</f>
        <v>4033</v>
      </c>
      <c r="J20" s="93"/>
      <c r="K20" s="109" t="s">
        <v>406</v>
      </c>
      <c r="L20" s="103" t="s">
        <v>383</v>
      </c>
      <c r="M20" s="94" t="s">
        <v>45</v>
      </c>
      <c r="N20" s="94" t="s">
        <v>5</v>
      </c>
      <c r="O20" s="94" t="str">
        <f t="shared" si="6"/>
        <v>Prime Plan-2 HN Premier 00-17</v>
      </c>
      <c r="P20" s="110">
        <f t="shared" si="2"/>
        <v>4517</v>
      </c>
      <c r="Q20" s="110">
        <f t="shared" si="3"/>
        <v>0</v>
      </c>
      <c r="R20" s="110">
        <f t="shared" si="4"/>
        <v>2016</v>
      </c>
      <c r="S20" s="110">
        <f>P20-Q20</f>
        <v>4517</v>
      </c>
    </row>
    <row r="21" spans="1:19" x14ac:dyDescent="0.3">
      <c r="A21" s="108" t="s">
        <v>452</v>
      </c>
      <c r="B21" s="103" t="s">
        <v>383</v>
      </c>
      <c r="C21" s="94" t="s">
        <v>46</v>
      </c>
      <c r="D21" s="94" t="s">
        <v>5</v>
      </c>
      <c r="E21" s="94" t="str">
        <f t="shared" si="5"/>
        <v>Not Applicable HN Premier 18-35</v>
      </c>
      <c r="F21" s="95">
        <v>4624</v>
      </c>
      <c r="G21" s="95">
        <v>250</v>
      </c>
      <c r="H21" s="95">
        <v>1800</v>
      </c>
      <c r="I21" s="82">
        <f>F21-G21</f>
        <v>4374</v>
      </c>
      <c r="J21" s="93"/>
      <c r="K21" s="109" t="s">
        <v>406</v>
      </c>
      <c r="L21" s="103" t="s">
        <v>383</v>
      </c>
      <c r="M21" s="94" t="s">
        <v>46</v>
      </c>
      <c r="N21" s="94" t="s">
        <v>5</v>
      </c>
      <c r="O21" s="94" t="str">
        <f t="shared" si="6"/>
        <v>Prime Plan-2 HN Premier 18-35</v>
      </c>
      <c r="P21" s="110">
        <f t="shared" ref="P21:Q26" si="8">F21+(F21*$Q$1)</f>
        <v>5179</v>
      </c>
      <c r="Q21" s="110">
        <f t="shared" si="8"/>
        <v>280</v>
      </c>
      <c r="R21" s="110">
        <f t="shared" ref="R21:R47" si="9">H21+(H21*$Q$1)</f>
        <v>2016</v>
      </c>
      <c r="S21" s="110">
        <f t="shared" ref="S21:S33" si="10">P21-Q21</f>
        <v>4899</v>
      </c>
    </row>
    <row r="22" spans="1:19" x14ac:dyDescent="0.3">
      <c r="A22" s="108" t="s">
        <v>452</v>
      </c>
      <c r="B22" s="103" t="s">
        <v>383</v>
      </c>
      <c r="C22" s="94" t="s">
        <v>47</v>
      </c>
      <c r="D22" s="94" t="s">
        <v>5</v>
      </c>
      <c r="E22" s="94" t="str">
        <f t="shared" si="5"/>
        <v>Not Applicable HN Premier 36-45</v>
      </c>
      <c r="F22" s="95">
        <v>5434</v>
      </c>
      <c r="G22" s="95">
        <v>350</v>
      </c>
      <c r="H22" s="95">
        <v>1800</v>
      </c>
      <c r="I22" s="82">
        <f>F22-G22</f>
        <v>5084</v>
      </c>
      <c r="J22" s="93"/>
      <c r="K22" s="109" t="s">
        <v>406</v>
      </c>
      <c r="L22" s="103" t="s">
        <v>383</v>
      </c>
      <c r="M22" s="94" t="s">
        <v>47</v>
      </c>
      <c r="N22" s="94" t="s">
        <v>5</v>
      </c>
      <c r="O22" s="94" t="str">
        <f t="shared" si="6"/>
        <v>Prime Plan-2 HN Premier 36-45</v>
      </c>
      <c r="P22" s="110">
        <f t="shared" si="8"/>
        <v>6086</v>
      </c>
      <c r="Q22" s="110">
        <f t="shared" si="8"/>
        <v>392</v>
      </c>
      <c r="R22" s="110">
        <f t="shared" si="9"/>
        <v>2016</v>
      </c>
      <c r="S22" s="110">
        <f t="shared" si="10"/>
        <v>5694</v>
      </c>
    </row>
    <row r="23" spans="1:19" x14ac:dyDescent="0.3">
      <c r="A23" s="108" t="s">
        <v>452</v>
      </c>
      <c r="B23" s="103" t="s">
        <v>383</v>
      </c>
      <c r="C23" s="94" t="s">
        <v>48</v>
      </c>
      <c r="D23" s="94" t="s">
        <v>5</v>
      </c>
      <c r="E23" s="94" t="str">
        <f t="shared" si="5"/>
        <v>Not Applicable HN Premier 46-55</v>
      </c>
      <c r="F23" s="95">
        <v>9280</v>
      </c>
      <c r="G23" s="95">
        <v>350</v>
      </c>
      <c r="H23" s="95">
        <v>1800</v>
      </c>
      <c r="I23" s="82">
        <f t="shared" ref="I23:I26" si="11">F23-G23</f>
        <v>8930</v>
      </c>
      <c r="J23" s="93"/>
      <c r="K23" s="109" t="s">
        <v>406</v>
      </c>
      <c r="L23" s="103" t="s">
        <v>383</v>
      </c>
      <c r="M23" s="94" t="s">
        <v>48</v>
      </c>
      <c r="N23" s="94" t="s">
        <v>5</v>
      </c>
      <c r="O23" s="94" t="str">
        <f t="shared" si="6"/>
        <v>Prime Plan-2 HN Premier 46-55</v>
      </c>
      <c r="P23" s="110">
        <f t="shared" si="8"/>
        <v>10394</v>
      </c>
      <c r="Q23" s="110">
        <f t="shared" si="8"/>
        <v>392</v>
      </c>
      <c r="R23" s="110">
        <f t="shared" si="9"/>
        <v>2016</v>
      </c>
      <c r="S23" s="110">
        <f t="shared" si="10"/>
        <v>10002</v>
      </c>
    </row>
    <row r="24" spans="1:19" x14ac:dyDescent="0.3">
      <c r="A24" s="108" t="s">
        <v>452</v>
      </c>
      <c r="B24" s="103" t="s">
        <v>383</v>
      </c>
      <c r="C24" s="94" t="s">
        <v>9</v>
      </c>
      <c r="D24" s="94" t="s">
        <v>5</v>
      </c>
      <c r="E24" s="94" t="str">
        <f t="shared" si="5"/>
        <v>Not Applicable HN Premier 56-59</v>
      </c>
      <c r="F24" s="95">
        <v>11492</v>
      </c>
      <c r="G24" s="95">
        <v>350</v>
      </c>
      <c r="H24" s="95">
        <v>1800</v>
      </c>
      <c r="I24" s="82">
        <f t="shared" si="11"/>
        <v>11142</v>
      </c>
      <c r="J24" s="93"/>
      <c r="K24" s="109" t="s">
        <v>406</v>
      </c>
      <c r="L24" s="103" t="s">
        <v>383</v>
      </c>
      <c r="M24" s="94" t="s">
        <v>9</v>
      </c>
      <c r="N24" s="94" t="s">
        <v>5</v>
      </c>
      <c r="O24" s="94" t="str">
        <f t="shared" si="6"/>
        <v>Prime Plan-2 HN Premier 56-59</v>
      </c>
      <c r="P24" s="110">
        <f t="shared" si="8"/>
        <v>12871</v>
      </c>
      <c r="Q24" s="110">
        <f t="shared" si="8"/>
        <v>392</v>
      </c>
      <c r="R24" s="110">
        <f t="shared" si="9"/>
        <v>2016</v>
      </c>
      <c r="S24" s="110">
        <f t="shared" si="10"/>
        <v>12479</v>
      </c>
    </row>
    <row r="25" spans="1:19" x14ac:dyDescent="0.3">
      <c r="A25" s="108" t="s">
        <v>452</v>
      </c>
      <c r="B25" s="103" t="s">
        <v>383</v>
      </c>
      <c r="C25" s="94" t="s">
        <v>438</v>
      </c>
      <c r="D25" s="94" t="s">
        <v>5</v>
      </c>
      <c r="E25" s="94" t="str">
        <f t="shared" si="5"/>
        <v>Not Applicable HN Premier 60 - 65</v>
      </c>
      <c r="F25" s="95">
        <v>16509</v>
      </c>
      <c r="G25" s="95">
        <v>350</v>
      </c>
      <c r="H25" s="95">
        <v>1800</v>
      </c>
      <c r="I25" s="82">
        <f t="shared" si="11"/>
        <v>16159</v>
      </c>
      <c r="J25" s="93"/>
      <c r="K25" s="109" t="s">
        <v>406</v>
      </c>
      <c r="L25" s="103" t="s">
        <v>383</v>
      </c>
      <c r="M25" s="94" t="s">
        <v>438</v>
      </c>
      <c r="N25" s="94" t="s">
        <v>5</v>
      </c>
      <c r="O25" s="94" t="str">
        <f t="shared" si="6"/>
        <v>Prime Plan-2 HN Premier 60 - 65</v>
      </c>
      <c r="P25" s="110">
        <f t="shared" si="8"/>
        <v>18490</v>
      </c>
      <c r="Q25" s="110">
        <f t="shared" si="8"/>
        <v>392</v>
      </c>
      <c r="R25" s="110">
        <f t="shared" si="9"/>
        <v>2016</v>
      </c>
      <c r="S25" s="110">
        <f t="shared" si="10"/>
        <v>18098</v>
      </c>
    </row>
    <row r="26" spans="1:19" x14ac:dyDescent="0.3">
      <c r="A26" s="108" t="s">
        <v>452</v>
      </c>
      <c r="B26" s="103" t="s">
        <v>383</v>
      </c>
      <c r="C26" s="94" t="s">
        <v>52</v>
      </c>
      <c r="D26" s="94" t="s">
        <v>5</v>
      </c>
      <c r="E26" s="94" t="str">
        <f t="shared" si="5"/>
        <v>Not Applicable HN Premier 66 and above</v>
      </c>
      <c r="F26" s="95">
        <v>25704</v>
      </c>
      <c r="G26" s="95">
        <v>350</v>
      </c>
      <c r="H26" s="95">
        <v>1800</v>
      </c>
      <c r="I26" s="82">
        <f t="shared" si="11"/>
        <v>25354</v>
      </c>
      <c r="J26" s="93"/>
      <c r="K26" s="109" t="s">
        <v>406</v>
      </c>
      <c r="L26" s="103" t="s">
        <v>383</v>
      </c>
      <c r="M26" s="94" t="s">
        <v>52</v>
      </c>
      <c r="N26" s="94" t="s">
        <v>5</v>
      </c>
      <c r="O26" s="94" t="str">
        <f t="shared" si="6"/>
        <v>Prime Plan-2 HN Premier 66 and above</v>
      </c>
      <c r="P26" s="110">
        <f t="shared" si="8"/>
        <v>28788</v>
      </c>
      <c r="Q26" s="110">
        <f t="shared" si="8"/>
        <v>392</v>
      </c>
      <c r="R26" s="110">
        <f t="shared" si="9"/>
        <v>2016</v>
      </c>
      <c r="S26" s="110">
        <f t="shared" si="10"/>
        <v>28396</v>
      </c>
    </row>
    <row r="27" spans="1:19" x14ac:dyDescent="0.3">
      <c r="A27" s="108" t="s">
        <v>452</v>
      </c>
      <c r="B27" s="103" t="s">
        <v>383</v>
      </c>
      <c r="C27" s="94" t="s">
        <v>45</v>
      </c>
      <c r="D27" s="94" t="s">
        <v>7</v>
      </c>
      <c r="E27" s="94" t="str">
        <f t="shared" si="5"/>
        <v>Not Applicable HN Premier 00-17</v>
      </c>
      <c r="F27" s="95">
        <v>4234</v>
      </c>
      <c r="G27" s="95">
        <v>350</v>
      </c>
      <c r="H27" s="95">
        <v>1800</v>
      </c>
      <c r="I27" s="82">
        <f>F27</f>
        <v>4234</v>
      </c>
      <c r="J27" s="93"/>
      <c r="K27" s="109" t="s">
        <v>406</v>
      </c>
      <c r="L27" s="103" t="s">
        <v>383</v>
      </c>
      <c r="M27" s="94" t="s">
        <v>45</v>
      </c>
      <c r="N27" s="94" t="s">
        <v>7</v>
      </c>
      <c r="O27" s="94" t="str">
        <f t="shared" si="6"/>
        <v>Prime Plan-2 HN Premier 00-17</v>
      </c>
      <c r="P27" s="110">
        <f t="shared" ref="P27:P47" si="12">F27+(F27*$Q$1)</f>
        <v>4742</v>
      </c>
      <c r="Q27" s="110">
        <v>0</v>
      </c>
      <c r="R27" s="110">
        <f t="shared" si="9"/>
        <v>2016</v>
      </c>
      <c r="S27" s="110">
        <f t="shared" si="10"/>
        <v>4742</v>
      </c>
    </row>
    <row r="28" spans="1:19" x14ac:dyDescent="0.3">
      <c r="A28" s="108" t="s">
        <v>452</v>
      </c>
      <c r="B28" s="103" t="s">
        <v>383</v>
      </c>
      <c r="C28" s="94" t="s">
        <v>46</v>
      </c>
      <c r="D28" s="94" t="s">
        <v>7</v>
      </c>
      <c r="E28" s="94" t="str">
        <f t="shared" si="5"/>
        <v>Not Applicable HN Premier 18-35</v>
      </c>
      <c r="F28" s="95">
        <v>6835</v>
      </c>
      <c r="G28" s="95">
        <v>350</v>
      </c>
      <c r="H28" s="95">
        <v>1800</v>
      </c>
      <c r="I28" s="82">
        <f>F28-H28</f>
        <v>5035</v>
      </c>
      <c r="J28" s="93"/>
      <c r="K28" s="109" t="s">
        <v>406</v>
      </c>
      <c r="L28" s="103" t="s">
        <v>383</v>
      </c>
      <c r="M28" s="94" t="s">
        <v>46</v>
      </c>
      <c r="N28" s="94" t="s">
        <v>7</v>
      </c>
      <c r="O28" s="94" t="str">
        <f t="shared" si="6"/>
        <v>Prime Plan-2 HN Premier 18-35</v>
      </c>
      <c r="P28" s="110">
        <f t="shared" si="12"/>
        <v>7655</v>
      </c>
      <c r="Q28" s="110">
        <f t="shared" ref="Q28:Q36" si="13">G28+(G28*$Q$1)</f>
        <v>392</v>
      </c>
      <c r="R28" s="110">
        <f t="shared" si="9"/>
        <v>2016</v>
      </c>
      <c r="S28" s="110">
        <f t="shared" si="10"/>
        <v>7263</v>
      </c>
    </row>
    <row r="29" spans="1:19" x14ac:dyDescent="0.3">
      <c r="A29" s="108" t="s">
        <v>452</v>
      </c>
      <c r="B29" s="103" t="s">
        <v>383</v>
      </c>
      <c r="C29" s="94" t="s">
        <v>47</v>
      </c>
      <c r="D29" s="94" t="s">
        <v>7</v>
      </c>
      <c r="E29" s="94" t="str">
        <f t="shared" si="5"/>
        <v>Not Applicable HN Premier 36-45</v>
      </c>
      <c r="F29" s="95">
        <v>7686</v>
      </c>
      <c r="G29" s="95">
        <v>350</v>
      </c>
      <c r="H29" s="95">
        <v>1800</v>
      </c>
      <c r="I29" s="82">
        <f>F29-H29</f>
        <v>5886</v>
      </c>
      <c r="J29" s="93"/>
      <c r="K29" s="109" t="s">
        <v>406</v>
      </c>
      <c r="L29" s="103" t="s">
        <v>383</v>
      </c>
      <c r="M29" s="94" t="s">
        <v>47</v>
      </c>
      <c r="N29" s="94" t="s">
        <v>7</v>
      </c>
      <c r="O29" s="94" t="str">
        <f t="shared" si="6"/>
        <v>Prime Plan-2 HN Premier 36-45</v>
      </c>
      <c r="P29" s="110">
        <f t="shared" si="12"/>
        <v>8608</v>
      </c>
      <c r="Q29" s="110">
        <f t="shared" si="13"/>
        <v>392</v>
      </c>
      <c r="R29" s="110">
        <f t="shared" si="9"/>
        <v>2016</v>
      </c>
      <c r="S29" s="110">
        <f t="shared" si="10"/>
        <v>8216</v>
      </c>
    </row>
    <row r="30" spans="1:19" x14ac:dyDescent="0.3">
      <c r="A30" s="108" t="s">
        <v>452</v>
      </c>
      <c r="B30" s="103" t="s">
        <v>383</v>
      </c>
      <c r="C30" s="94" t="s">
        <v>48</v>
      </c>
      <c r="D30" s="94" t="s">
        <v>7</v>
      </c>
      <c r="E30" s="94" t="str">
        <f t="shared" si="5"/>
        <v>Not Applicable HN Premier 46-55</v>
      </c>
      <c r="F30" s="95">
        <v>10569</v>
      </c>
      <c r="G30" s="95">
        <v>350</v>
      </c>
      <c r="H30" s="95">
        <v>1800</v>
      </c>
      <c r="I30" s="82">
        <f>F30</f>
        <v>10569</v>
      </c>
      <c r="J30" s="93"/>
      <c r="K30" s="109" t="s">
        <v>406</v>
      </c>
      <c r="L30" s="103" t="s">
        <v>383</v>
      </c>
      <c r="M30" s="94" t="s">
        <v>48</v>
      </c>
      <c r="N30" s="94" t="s">
        <v>7</v>
      </c>
      <c r="O30" s="94" t="str">
        <f t="shared" si="6"/>
        <v>Prime Plan-2 HN Premier 46-55</v>
      </c>
      <c r="P30" s="110">
        <f t="shared" si="12"/>
        <v>11837</v>
      </c>
      <c r="Q30" s="110">
        <f t="shared" si="13"/>
        <v>392</v>
      </c>
      <c r="R30" s="110">
        <f t="shared" si="9"/>
        <v>2016</v>
      </c>
      <c r="S30" s="110">
        <f t="shared" si="10"/>
        <v>11445</v>
      </c>
    </row>
    <row r="31" spans="1:19" x14ac:dyDescent="0.3">
      <c r="A31" s="108" t="s">
        <v>452</v>
      </c>
      <c r="B31" s="103" t="s">
        <v>383</v>
      </c>
      <c r="C31" s="94" t="s">
        <v>9</v>
      </c>
      <c r="D31" s="94" t="s">
        <v>7</v>
      </c>
      <c r="E31" s="94" t="str">
        <f t="shared" si="5"/>
        <v>Not Applicable HN Premier 56-59</v>
      </c>
      <c r="F31" s="95">
        <v>13221</v>
      </c>
      <c r="G31" s="95">
        <v>350</v>
      </c>
      <c r="H31" s="95">
        <v>1800</v>
      </c>
      <c r="I31" s="82">
        <f t="shared" ref="I31:I33" si="14">F31</f>
        <v>13221</v>
      </c>
      <c r="J31" s="93"/>
      <c r="K31" s="109" t="s">
        <v>406</v>
      </c>
      <c r="L31" s="103" t="s">
        <v>383</v>
      </c>
      <c r="M31" s="94" t="s">
        <v>9</v>
      </c>
      <c r="N31" s="94" t="s">
        <v>7</v>
      </c>
      <c r="O31" s="94" t="str">
        <f t="shared" si="6"/>
        <v>Prime Plan-2 HN Premier 56-59</v>
      </c>
      <c r="P31" s="110">
        <f t="shared" si="12"/>
        <v>14808</v>
      </c>
      <c r="Q31" s="110">
        <f t="shared" si="13"/>
        <v>392</v>
      </c>
      <c r="R31" s="110">
        <f t="shared" si="9"/>
        <v>2016</v>
      </c>
      <c r="S31" s="110">
        <f t="shared" si="10"/>
        <v>14416</v>
      </c>
    </row>
    <row r="32" spans="1:19" x14ac:dyDescent="0.3">
      <c r="A32" s="108" t="s">
        <v>452</v>
      </c>
      <c r="B32" s="103" t="s">
        <v>383</v>
      </c>
      <c r="C32" s="94" t="s">
        <v>438</v>
      </c>
      <c r="D32" s="94" t="s">
        <v>7</v>
      </c>
      <c r="E32" s="94" t="str">
        <f t="shared" si="5"/>
        <v>Not Applicable HN Premier 60 - 65</v>
      </c>
      <c r="F32" s="95">
        <v>17334</v>
      </c>
      <c r="G32" s="95">
        <v>350</v>
      </c>
      <c r="H32" s="95">
        <v>1800</v>
      </c>
      <c r="I32" s="82">
        <f t="shared" si="14"/>
        <v>17334</v>
      </c>
      <c r="J32" s="93"/>
      <c r="K32" s="109" t="s">
        <v>406</v>
      </c>
      <c r="L32" s="103" t="s">
        <v>383</v>
      </c>
      <c r="M32" s="94" t="s">
        <v>438</v>
      </c>
      <c r="N32" s="94" t="s">
        <v>7</v>
      </c>
      <c r="O32" s="94" t="str">
        <f t="shared" si="6"/>
        <v>Prime Plan-2 HN Premier 60 - 65</v>
      </c>
      <c r="P32" s="110">
        <f t="shared" si="12"/>
        <v>19414</v>
      </c>
      <c r="Q32" s="110">
        <f t="shared" si="13"/>
        <v>392</v>
      </c>
      <c r="R32" s="110">
        <f t="shared" si="9"/>
        <v>2016</v>
      </c>
      <c r="S32" s="110">
        <f t="shared" si="10"/>
        <v>19022</v>
      </c>
    </row>
    <row r="33" spans="1:19" x14ac:dyDescent="0.3">
      <c r="A33" s="108" t="s">
        <v>452</v>
      </c>
      <c r="B33" s="103" t="s">
        <v>383</v>
      </c>
      <c r="C33" s="94" t="s">
        <v>52</v>
      </c>
      <c r="D33" s="94" t="s">
        <v>7</v>
      </c>
      <c r="E33" s="94" t="str">
        <f t="shared" si="5"/>
        <v>Not Applicable HN Premier 66 and above</v>
      </c>
      <c r="F33" s="95">
        <v>26989</v>
      </c>
      <c r="G33" s="95">
        <v>350</v>
      </c>
      <c r="H33" s="95">
        <v>1800</v>
      </c>
      <c r="I33" s="82">
        <f t="shared" si="14"/>
        <v>26989</v>
      </c>
      <c r="J33" s="93"/>
      <c r="K33" s="109" t="s">
        <v>406</v>
      </c>
      <c r="L33" s="103" t="s">
        <v>383</v>
      </c>
      <c r="M33" s="94" t="s">
        <v>52</v>
      </c>
      <c r="N33" s="94" t="s">
        <v>7</v>
      </c>
      <c r="O33" s="94" t="str">
        <f t="shared" si="6"/>
        <v>Prime Plan-2 HN Premier 66 and above</v>
      </c>
      <c r="P33" s="110">
        <f t="shared" si="12"/>
        <v>30228</v>
      </c>
      <c r="Q33" s="110">
        <f t="shared" si="13"/>
        <v>392</v>
      </c>
      <c r="R33" s="110">
        <f t="shared" si="9"/>
        <v>2016</v>
      </c>
      <c r="S33" s="110">
        <f t="shared" si="10"/>
        <v>29836</v>
      </c>
    </row>
    <row r="34" spans="1:19" x14ac:dyDescent="0.3">
      <c r="A34" s="109" t="s">
        <v>408</v>
      </c>
      <c r="B34" s="103" t="s">
        <v>384</v>
      </c>
      <c r="C34" s="94" t="s">
        <v>45</v>
      </c>
      <c r="D34" s="94" t="s">
        <v>5</v>
      </c>
      <c r="E34" s="94" t="str">
        <f t="shared" si="5"/>
        <v>Calssic Plan-1R HN Advantage 00-17</v>
      </c>
      <c r="F34" s="95">
        <f>F20+(F20*$G$3)</f>
        <v>3428</v>
      </c>
      <c r="G34" s="95">
        <f>G20+(G20*$G$3)</f>
        <v>0</v>
      </c>
      <c r="H34" s="95">
        <f>H20+(H20*$G$3)</f>
        <v>1530</v>
      </c>
      <c r="I34" s="82">
        <f t="shared" ref="I34:I40" si="15">F34-G34</f>
        <v>3428</v>
      </c>
      <c r="J34" s="93"/>
      <c r="K34" s="109" t="s">
        <v>407</v>
      </c>
      <c r="L34" s="103" t="s">
        <v>384</v>
      </c>
      <c r="M34" s="94" t="s">
        <v>45</v>
      </c>
      <c r="N34" s="94" t="s">
        <v>5</v>
      </c>
      <c r="O34" s="94" t="str">
        <f t="shared" si="6"/>
        <v>Calssic Plan-1 HN Advantage 00-17</v>
      </c>
      <c r="P34" s="110">
        <f t="shared" si="12"/>
        <v>3839</v>
      </c>
      <c r="Q34" s="110">
        <f t="shared" si="13"/>
        <v>0</v>
      </c>
      <c r="R34" s="110">
        <f t="shared" si="9"/>
        <v>1714</v>
      </c>
      <c r="S34" s="110">
        <f t="shared" ref="S34:S47" si="16">P34</f>
        <v>3839</v>
      </c>
    </row>
    <row r="35" spans="1:19" x14ac:dyDescent="0.3">
      <c r="A35" s="109" t="s">
        <v>408</v>
      </c>
      <c r="B35" s="103" t="s">
        <v>384</v>
      </c>
      <c r="C35" s="94" t="s">
        <v>46</v>
      </c>
      <c r="D35" s="94" t="s">
        <v>5</v>
      </c>
      <c r="E35" s="94" t="str">
        <f t="shared" si="5"/>
        <v>Calssic Plan-1R HN Advantage 18-35</v>
      </c>
      <c r="F35" s="95">
        <f t="shared" ref="F35:H47" si="17">F21+(F21*$G$3)</f>
        <v>3930</v>
      </c>
      <c r="G35" s="95">
        <f t="shared" si="17"/>
        <v>213</v>
      </c>
      <c r="H35" s="95">
        <f t="shared" si="17"/>
        <v>1530</v>
      </c>
      <c r="I35" s="82">
        <f t="shared" si="15"/>
        <v>3717</v>
      </c>
      <c r="J35" s="93"/>
      <c r="K35" s="109" t="s">
        <v>407</v>
      </c>
      <c r="L35" s="103" t="s">
        <v>384</v>
      </c>
      <c r="M35" s="94" t="s">
        <v>46</v>
      </c>
      <c r="N35" s="94" t="s">
        <v>5</v>
      </c>
      <c r="O35" s="94" t="str">
        <f t="shared" si="6"/>
        <v>Calssic Plan-1 HN Advantage 18-35</v>
      </c>
      <c r="P35" s="110">
        <f t="shared" si="12"/>
        <v>4402</v>
      </c>
      <c r="Q35" s="110">
        <f t="shared" si="13"/>
        <v>239</v>
      </c>
      <c r="R35" s="110">
        <f t="shared" si="9"/>
        <v>1714</v>
      </c>
      <c r="S35" s="110">
        <f t="shared" si="16"/>
        <v>4402</v>
      </c>
    </row>
    <row r="36" spans="1:19" x14ac:dyDescent="0.3">
      <c r="A36" s="109" t="s">
        <v>408</v>
      </c>
      <c r="B36" s="103" t="s">
        <v>384</v>
      </c>
      <c r="C36" s="94" t="s">
        <v>47</v>
      </c>
      <c r="D36" s="94" t="s">
        <v>5</v>
      </c>
      <c r="E36" s="94" t="str">
        <f t="shared" si="5"/>
        <v>Calssic Plan-1R HN Advantage 36-45</v>
      </c>
      <c r="F36" s="95">
        <f t="shared" si="17"/>
        <v>4619</v>
      </c>
      <c r="G36" s="95">
        <f t="shared" si="17"/>
        <v>298</v>
      </c>
      <c r="H36" s="95">
        <f t="shared" si="17"/>
        <v>1530</v>
      </c>
      <c r="I36" s="82">
        <f t="shared" si="15"/>
        <v>4321</v>
      </c>
      <c r="J36" s="93"/>
      <c r="K36" s="109" t="s">
        <v>407</v>
      </c>
      <c r="L36" s="103" t="s">
        <v>384</v>
      </c>
      <c r="M36" s="94" t="s">
        <v>47</v>
      </c>
      <c r="N36" s="94" t="s">
        <v>5</v>
      </c>
      <c r="O36" s="94" t="str">
        <f t="shared" si="6"/>
        <v>Calssic Plan-1 HN Advantage 36-45</v>
      </c>
      <c r="P36" s="110">
        <f t="shared" si="12"/>
        <v>5173</v>
      </c>
      <c r="Q36" s="110">
        <f t="shared" si="13"/>
        <v>334</v>
      </c>
      <c r="R36" s="110">
        <f t="shared" si="9"/>
        <v>1714</v>
      </c>
      <c r="S36" s="110">
        <f t="shared" si="16"/>
        <v>5173</v>
      </c>
    </row>
    <row r="37" spans="1:19" x14ac:dyDescent="0.3">
      <c r="A37" s="109" t="s">
        <v>408</v>
      </c>
      <c r="B37" s="103" t="s">
        <v>384</v>
      </c>
      <c r="C37" s="94" t="s">
        <v>48</v>
      </c>
      <c r="D37" s="94" t="s">
        <v>5</v>
      </c>
      <c r="E37" s="94" t="str">
        <f t="shared" si="5"/>
        <v>Calssic Plan-1R HN Advantage 46-55</v>
      </c>
      <c r="F37" s="95">
        <f t="shared" si="17"/>
        <v>7888</v>
      </c>
      <c r="G37" s="95">
        <f t="shared" si="17"/>
        <v>298</v>
      </c>
      <c r="H37" s="95">
        <f t="shared" si="17"/>
        <v>1530</v>
      </c>
      <c r="I37" s="82">
        <f t="shared" si="15"/>
        <v>7590</v>
      </c>
      <c r="J37" s="93"/>
      <c r="K37" s="109" t="s">
        <v>407</v>
      </c>
      <c r="L37" s="103" t="s">
        <v>384</v>
      </c>
      <c r="M37" s="94" t="s">
        <v>48</v>
      </c>
      <c r="N37" s="94" t="s">
        <v>5</v>
      </c>
      <c r="O37" s="94" t="str">
        <f t="shared" si="6"/>
        <v>Calssic Plan-1 HN Advantage 46-55</v>
      </c>
      <c r="P37" s="110">
        <f t="shared" si="12"/>
        <v>8835</v>
      </c>
      <c r="Q37" s="110">
        <f t="shared" ref="Q37:Q47" si="18">G37+(G37*$Q$1)</f>
        <v>334</v>
      </c>
      <c r="R37" s="110">
        <f t="shared" si="9"/>
        <v>1714</v>
      </c>
      <c r="S37" s="110">
        <f t="shared" si="16"/>
        <v>8835</v>
      </c>
    </row>
    <row r="38" spans="1:19" x14ac:dyDescent="0.3">
      <c r="A38" s="109" t="s">
        <v>408</v>
      </c>
      <c r="B38" s="103" t="s">
        <v>384</v>
      </c>
      <c r="C38" s="94" t="s">
        <v>9</v>
      </c>
      <c r="D38" s="94" t="s">
        <v>5</v>
      </c>
      <c r="E38" s="94" t="str">
        <f t="shared" si="5"/>
        <v>Calssic Plan-1R HN Advantage 56-59</v>
      </c>
      <c r="F38" s="95">
        <f t="shared" si="17"/>
        <v>9768</v>
      </c>
      <c r="G38" s="95">
        <f t="shared" si="17"/>
        <v>298</v>
      </c>
      <c r="H38" s="95">
        <f t="shared" si="17"/>
        <v>1530</v>
      </c>
      <c r="I38" s="82">
        <f t="shared" si="15"/>
        <v>9470</v>
      </c>
      <c r="J38" s="93"/>
      <c r="K38" s="109" t="s">
        <v>407</v>
      </c>
      <c r="L38" s="103" t="s">
        <v>384</v>
      </c>
      <c r="M38" s="94" t="s">
        <v>9</v>
      </c>
      <c r="N38" s="94" t="s">
        <v>5</v>
      </c>
      <c r="O38" s="94" t="str">
        <f t="shared" si="6"/>
        <v>Calssic Plan-1 HN Advantage 56-59</v>
      </c>
      <c r="P38" s="110">
        <f t="shared" si="12"/>
        <v>10940</v>
      </c>
      <c r="Q38" s="110">
        <f t="shared" si="18"/>
        <v>334</v>
      </c>
      <c r="R38" s="110">
        <f t="shared" si="9"/>
        <v>1714</v>
      </c>
      <c r="S38" s="110">
        <f t="shared" si="16"/>
        <v>10940</v>
      </c>
    </row>
    <row r="39" spans="1:19" x14ac:dyDescent="0.3">
      <c r="A39" s="109" t="s">
        <v>408</v>
      </c>
      <c r="B39" s="103" t="s">
        <v>384</v>
      </c>
      <c r="C39" s="94" t="s">
        <v>438</v>
      </c>
      <c r="D39" s="94" t="s">
        <v>5</v>
      </c>
      <c r="E39" s="94" t="str">
        <f t="shared" si="5"/>
        <v>Calssic Plan-1R HN Advantage 60 - 65</v>
      </c>
      <c r="F39" s="95">
        <f t="shared" si="17"/>
        <v>14033</v>
      </c>
      <c r="G39" s="95">
        <f t="shared" si="17"/>
        <v>298</v>
      </c>
      <c r="H39" s="95">
        <f t="shared" si="17"/>
        <v>1530</v>
      </c>
      <c r="I39" s="82">
        <f t="shared" si="15"/>
        <v>13735</v>
      </c>
      <c r="J39" s="93"/>
      <c r="K39" s="109" t="s">
        <v>407</v>
      </c>
      <c r="L39" s="103" t="s">
        <v>384</v>
      </c>
      <c r="M39" s="94" t="s">
        <v>438</v>
      </c>
      <c r="N39" s="94" t="s">
        <v>5</v>
      </c>
      <c r="O39" s="94" t="str">
        <f t="shared" si="6"/>
        <v>Calssic Plan-1 HN Advantage 60 - 65</v>
      </c>
      <c r="P39" s="110">
        <f t="shared" si="12"/>
        <v>15717</v>
      </c>
      <c r="Q39" s="110">
        <f t="shared" si="18"/>
        <v>334</v>
      </c>
      <c r="R39" s="110">
        <f t="shared" si="9"/>
        <v>1714</v>
      </c>
      <c r="S39" s="110">
        <f t="shared" si="16"/>
        <v>15717</v>
      </c>
    </row>
    <row r="40" spans="1:19" x14ac:dyDescent="0.3">
      <c r="A40" s="109" t="s">
        <v>408</v>
      </c>
      <c r="B40" s="103" t="s">
        <v>384</v>
      </c>
      <c r="C40" s="94" t="s">
        <v>52</v>
      </c>
      <c r="D40" s="94" t="s">
        <v>5</v>
      </c>
      <c r="E40" s="94" t="str">
        <f t="shared" si="5"/>
        <v>Calssic Plan-1R HN Advantage 66 and above</v>
      </c>
      <c r="F40" s="95">
        <f t="shared" si="17"/>
        <v>21848</v>
      </c>
      <c r="G40" s="95">
        <f t="shared" si="17"/>
        <v>298</v>
      </c>
      <c r="H40" s="95">
        <f t="shared" si="17"/>
        <v>1530</v>
      </c>
      <c r="I40" s="82">
        <f t="shared" si="15"/>
        <v>21550</v>
      </c>
      <c r="J40" s="93"/>
      <c r="K40" s="109" t="s">
        <v>407</v>
      </c>
      <c r="L40" s="103" t="s">
        <v>384</v>
      </c>
      <c r="M40" s="94" t="s">
        <v>52</v>
      </c>
      <c r="N40" s="94" t="s">
        <v>5</v>
      </c>
      <c r="O40" s="94" t="str">
        <f t="shared" si="6"/>
        <v>Calssic Plan-1 HN Advantage 66 and above</v>
      </c>
      <c r="P40" s="110">
        <f t="shared" si="12"/>
        <v>24470</v>
      </c>
      <c r="Q40" s="110">
        <f t="shared" si="18"/>
        <v>334</v>
      </c>
      <c r="R40" s="110">
        <f t="shared" si="9"/>
        <v>1714</v>
      </c>
      <c r="S40" s="110">
        <f t="shared" si="16"/>
        <v>24470</v>
      </c>
    </row>
    <row r="41" spans="1:19" x14ac:dyDescent="0.3">
      <c r="A41" s="109" t="s">
        <v>408</v>
      </c>
      <c r="B41" s="103" t="s">
        <v>384</v>
      </c>
      <c r="C41" s="94" t="s">
        <v>45</v>
      </c>
      <c r="D41" s="94" t="s">
        <v>7</v>
      </c>
      <c r="E41" s="94" t="str">
        <f t="shared" si="5"/>
        <v>Calssic Plan-1R HN Advantage 00-17</v>
      </c>
      <c r="F41" s="95">
        <f t="shared" si="17"/>
        <v>3599</v>
      </c>
      <c r="G41" s="95">
        <f t="shared" si="17"/>
        <v>298</v>
      </c>
      <c r="H41" s="95">
        <f t="shared" si="17"/>
        <v>1530</v>
      </c>
      <c r="I41" s="82">
        <f>F41</f>
        <v>3599</v>
      </c>
      <c r="J41" s="93"/>
      <c r="K41" s="109" t="s">
        <v>407</v>
      </c>
      <c r="L41" s="103" t="s">
        <v>384</v>
      </c>
      <c r="M41" s="94" t="s">
        <v>45</v>
      </c>
      <c r="N41" s="94" t="s">
        <v>7</v>
      </c>
      <c r="O41" s="94" t="str">
        <f t="shared" si="6"/>
        <v>Calssic Plan-1 HN Advantage 00-17</v>
      </c>
      <c r="P41" s="110">
        <f t="shared" si="12"/>
        <v>4031</v>
      </c>
      <c r="Q41" s="110">
        <f t="shared" si="18"/>
        <v>334</v>
      </c>
      <c r="R41" s="110">
        <f t="shared" si="9"/>
        <v>1714</v>
      </c>
      <c r="S41" s="110">
        <f t="shared" si="16"/>
        <v>4031</v>
      </c>
    </row>
    <row r="42" spans="1:19" x14ac:dyDescent="0.3">
      <c r="A42" s="109" t="s">
        <v>408</v>
      </c>
      <c r="B42" s="103" t="s">
        <v>384</v>
      </c>
      <c r="C42" s="94" t="s">
        <v>46</v>
      </c>
      <c r="D42" s="94" t="s">
        <v>7</v>
      </c>
      <c r="E42" s="94" t="str">
        <f t="shared" si="5"/>
        <v>Calssic Plan-1R HN Advantage 18-35</v>
      </c>
      <c r="F42" s="95">
        <f t="shared" si="17"/>
        <v>5810</v>
      </c>
      <c r="G42" s="95">
        <f t="shared" si="17"/>
        <v>298</v>
      </c>
      <c r="H42" s="95">
        <f t="shared" si="17"/>
        <v>1530</v>
      </c>
      <c r="I42" s="82">
        <f>F42-H42</f>
        <v>4280</v>
      </c>
      <c r="J42" s="93"/>
      <c r="K42" s="109" t="s">
        <v>407</v>
      </c>
      <c r="L42" s="103" t="s">
        <v>384</v>
      </c>
      <c r="M42" s="94" t="s">
        <v>46</v>
      </c>
      <c r="N42" s="94" t="s">
        <v>7</v>
      </c>
      <c r="O42" s="94" t="str">
        <f t="shared" si="6"/>
        <v>Calssic Plan-1 HN Advantage 18-35</v>
      </c>
      <c r="P42" s="110">
        <f t="shared" si="12"/>
        <v>6507</v>
      </c>
      <c r="Q42" s="110">
        <f t="shared" si="18"/>
        <v>334</v>
      </c>
      <c r="R42" s="110">
        <f t="shared" si="9"/>
        <v>1714</v>
      </c>
      <c r="S42" s="110">
        <f t="shared" si="16"/>
        <v>6507</v>
      </c>
    </row>
    <row r="43" spans="1:19" x14ac:dyDescent="0.3">
      <c r="A43" s="109" t="s">
        <v>408</v>
      </c>
      <c r="B43" s="103" t="s">
        <v>384</v>
      </c>
      <c r="C43" s="94" t="s">
        <v>47</v>
      </c>
      <c r="D43" s="94" t="s">
        <v>7</v>
      </c>
      <c r="E43" s="94" t="str">
        <f t="shared" si="5"/>
        <v>Calssic Plan-1R HN Advantage 36-45</v>
      </c>
      <c r="F43" s="95">
        <f t="shared" si="17"/>
        <v>6533</v>
      </c>
      <c r="G43" s="95">
        <f t="shared" si="17"/>
        <v>298</v>
      </c>
      <c r="H43" s="95">
        <f t="shared" si="17"/>
        <v>1530</v>
      </c>
      <c r="I43" s="82">
        <f>F43-H43</f>
        <v>5003</v>
      </c>
      <c r="J43" s="93"/>
      <c r="K43" s="109" t="s">
        <v>407</v>
      </c>
      <c r="L43" s="103" t="s">
        <v>384</v>
      </c>
      <c r="M43" s="94" t="s">
        <v>47</v>
      </c>
      <c r="N43" s="94" t="s">
        <v>7</v>
      </c>
      <c r="O43" s="94" t="str">
        <f t="shared" si="6"/>
        <v>Calssic Plan-1 HN Advantage 36-45</v>
      </c>
      <c r="P43" s="110">
        <f t="shared" si="12"/>
        <v>7317</v>
      </c>
      <c r="Q43" s="110">
        <f t="shared" si="18"/>
        <v>334</v>
      </c>
      <c r="R43" s="110">
        <f t="shared" si="9"/>
        <v>1714</v>
      </c>
      <c r="S43" s="110">
        <f t="shared" si="16"/>
        <v>7317</v>
      </c>
    </row>
    <row r="44" spans="1:19" x14ac:dyDescent="0.3">
      <c r="A44" s="109" t="s">
        <v>408</v>
      </c>
      <c r="B44" s="103" t="s">
        <v>384</v>
      </c>
      <c r="C44" s="94" t="s">
        <v>48</v>
      </c>
      <c r="D44" s="94" t="s">
        <v>7</v>
      </c>
      <c r="E44" s="94" t="str">
        <f t="shared" si="5"/>
        <v>Calssic Plan-1R HN Advantage 46-55</v>
      </c>
      <c r="F44" s="95">
        <f t="shared" si="17"/>
        <v>8984</v>
      </c>
      <c r="G44" s="95">
        <f t="shared" si="17"/>
        <v>298</v>
      </c>
      <c r="H44" s="95">
        <f t="shared" si="17"/>
        <v>1530</v>
      </c>
      <c r="I44" s="82">
        <f>F44</f>
        <v>8984</v>
      </c>
      <c r="J44" s="93"/>
      <c r="K44" s="109" t="s">
        <v>407</v>
      </c>
      <c r="L44" s="103" t="s">
        <v>384</v>
      </c>
      <c r="M44" s="94" t="s">
        <v>48</v>
      </c>
      <c r="N44" s="94" t="s">
        <v>7</v>
      </c>
      <c r="O44" s="94" t="str">
        <f t="shared" si="6"/>
        <v>Calssic Plan-1 HN Advantage 46-55</v>
      </c>
      <c r="P44" s="110">
        <f t="shared" si="12"/>
        <v>10062</v>
      </c>
      <c r="Q44" s="110">
        <f t="shared" si="18"/>
        <v>334</v>
      </c>
      <c r="R44" s="110">
        <f t="shared" si="9"/>
        <v>1714</v>
      </c>
      <c r="S44" s="110">
        <f t="shared" si="16"/>
        <v>10062</v>
      </c>
    </row>
    <row r="45" spans="1:19" x14ac:dyDescent="0.3">
      <c r="A45" s="109" t="s">
        <v>408</v>
      </c>
      <c r="B45" s="103" t="s">
        <v>384</v>
      </c>
      <c r="C45" s="94" t="s">
        <v>9</v>
      </c>
      <c r="D45" s="94" t="s">
        <v>7</v>
      </c>
      <c r="E45" s="94" t="str">
        <f t="shared" si="5"/>
        <v>Calssic Plan-1R HN Advantage 56-59</v>
      </c>
      <c r="F45" s="95">
        <f t="shared" si="17"/>
        <v>11238</v>
      </c>
      <c r="G45" s="95">
        <f t="shared" si="17"/>
        <v>298</v>
      </c>
      <c r="H45" s="95">
        <f t="shared" si="17"/>
        <v>1530</v>
      </c>
      <c r="I45" s="82">
        <f>F45</f>
        <v>11238</v>
      </c>
      <c r="J45" s="93"/>
      <c r="K45" s="109" t="s">
        <v>407</v>
      </c>
      <c r="L45" s="103" t="s">
        <v>384</v>
      </c>
      <c r="M45" s="94" t="s">
        <v>9</v>
      </c>
      <c r="N45" s="94" t="s">
        <v>7</v>
      </c>
      <c r="O45" s="94" t="str">
        <f t="shared" si="6"/>
        <v>Calssic Plan-1 HN Advantage 56-59</v>
      </c>
      <c r="P45" s="110">
        <f t="shared" si="12"/>
        <v>12587</v>
      </c>
      <c r="Q45" s="110">
        <f t="shared" si="18"/>
        <v>334</v>
      </c>
      <c r="R45" s="110">
        <f t="shared" si="9"/>
        <v>1714</v>
      </c>
      <c r="S45" s="110">
        <f t="shared" si="16"/>
        <v>12587</v>
      </c>
    </row>
    <row r="46" spans="1:19" x14ac:dyDescent="0.3">
      <c r="A46" s="109" t="s">
        <v>408</v>
      </c>
      <c r="B46" s="103" t="s">
        <v>384</v>
      </c>
      <c r="C46" s="94" t="s">
        <v>438</v>
      </c>
      <c r="D46" s="94" t="s">
        <v>7</v>
      </c>
      <c r="E46" s="94" t="str">
        <f t="shared" si="5"/>
        <v>Calssic Plan-1R HN Advantage 60 - 65</v>
      </c>
      <c r="F46" s="95">
        <f t="shared" si="17"/>
        <v>14734</v>
      </c>
      <c r="G46" s="95">
        <f t="shared" si="17"/>
        <v>298</v>
      </c>
      <c r="H46" s="95">
        <f t="shared" si="17"/>
        <v>1530</v>
      </c>
      <c r="I46" s="82">
        <f>F46</f>
        <v>14734</v>
      </c>
      <c r="J46" s="93"/>
      <c r="K46" s="109" t="s">
        <v>407</v>
      </c>
      <c r="L46" s="103" t="s">
        <v>384</v>
      </c>
      <c r="M46" s="94" t="s">
        <v>438</v>
      </c>
      <c r="N46" s="94" t="s">
        <v>7</v>
      </c>
      <c r="O46" s="94" t="str">
        <f t="shared" si="6"/>
        <v>Calssic Plan-1 HN Advantage 60 - 65</v>
      </c>
      <c r="P46" s="110">
        <f t="shared" si="12"/>
        <v>16502</v>
      </c>
      <c r="Q46" s="110">
        <f t="shared" si="18"/>
        <v>334</v>
      </c>
      <c r="R46" s="110">
        <f t="shared" si="9"/>
        <v>1714</v>
      </c>
      <c r="S46" s="110">
        <f t="shared" si="16"/>
        <v>16502</v>
      </c>
    </row>
    <row r="47" spans="1:19" x14ac:dyDescent="0.3">
      <c r="A47" s="109" t="s">
        <v>408</v>
      </c>
      <c r="B47" s="103" t="s">
        <v>384</v>
      </c>
      <c r="C47" s="94" t="s">
        <v>52</v>
      </c>
      <c r="D47" s="94" t="s">
        <v>7</v>
      </c>
      <c r="E47" s="94" t="str">
        <f t="shared" si="5"/>
        <v>Calssic Plan-1R HN Advantage 66 and above</v>
      </c>
      <c r="F47" s="95">
        <f t="shared" si="17"/>
        <v>22941</v>
      </c>
      <c r="G47" s="95">
        <f t="shared" si="17"/>
        <v>298</v>
      </c>
      <c r="H47" s="95">
        <f t="shared" si="17"/>
        <v>1530</v>
      </c>
      <c r="I47" s="82">
        <f>F47</f>
        <v>22941</v>
      </c>
      <c r="J47" s="93"/>
      <c r="K47" s="109" t="s">
        <v>407</v>
      </c>
      <c r="L47" s="103" t="s">
        <v>384</v>
      </c>
      <c r="M47" s="94" t="s">
        <v>52</v>
      </c>
      <c r="N47" s="94" t="s">
        <v>7</v>
      </c>
      <c r="O47" s="94" t="str">
        <f t="shared" si="6"/>
        <v>Calssic Plan-1 HN Advantage 66 and above</v>
      </c>
      <c r="P47" s="110">
        <f t="shared" si="12"/>
        <v>25694</v>
      </c>
      <c r="Q47" s="110">
        <f t="shared" si="18"/>
        <v>334</v>
      </c>
      <c r="R47" s="110">
        <f t="shared" si="9"/>
        <v>1714</v>
      </c>
      <c r="S47" s="110">
        <f t="shared" si="16"/>
        <v>25694</v>
      </c>
    </row>
    <row r="48" spans="1:19" x14ac:dyDescent="0.3">
      <c r="A48" s="109" t="s">
        <v>412</v>
      </c>
      <c r="B48" s="103" t="s">
        <v>385</v>
      </c>
      <c r="C48" s="94" t="s">
        <v>45</v>
      </c>
      <c r="D48" s="94" t="s">
        <v>5</v>
      </c>
      <c r="E48" s="94" t="str">
        <f t="shared" si="5"/>
        <v>Calssic Plan-2R HN Standard Plus 00-17</v>
      </c>
      <c r="F48" s="95">
        <v>3062</v>
      </c>
      <c r="G48" s="95">
        <v>300</v>
      </c>
      <c r="H48" s="95">
        <v>1200</v>
      </c>
      <c r="I48" s="82">
        <f>F48-G48</f>
        <v>2762</v>
      </c>
      <c r="J48" s="93"/>
      <c r="K48" s="109" t="s">
        <v>409</v>
      </c>
      <c r="L48" s="103" t="s">
        <v>385</v>
      </c>
      <c r="M48" s="94" t="s">
        <v>45</v>
      </c>
      <c r="N48" s="94" t="s">
        <v>5</v>
      </c>
      <c r="O48" s="94" t="str">
        <f t="shared" si="6"/>
        <v>Calssic Plan-2 HN Standard Plus 00-17</v>
      </c>
      <c r="P48" s="110">
        <f>F48+(F48*$Q$3)</f>
        <v>3276</v>
      </c>
      <c r="Q48" s="110">
        <f>G48+(G48*$Q$3)</f>
        <v>321</v>
      </c>
      <c r="R48" s="110">
        <f>H48+(H48*$Q$3)</f>
        <v>1284</v>
      </c>
      <c r="S48" s="110">
        <f t="shared" ref="S48:S89" si="19">P48-Q48</f>
        <v>2955</v>
      </c>
    </row>
    <row r="49" spans="1:19" x14ac:dyDescent="0.3">
      <c r="A49" s="109" t="s">
        <v>412</v>
      </c>
      <c r="B49" s="103" t="s">
        <v>385</v>
      </c>
      <c r="C49" s="94" t="s">
        <v>46</v>
      </c>
      <c r="D49" s="94" t="s">
        <v>5</v>
      </c>
      <c r="E49" s="94" t="str">
        <f t="shared" si="5"/>
        <v>Calssic Plan-2R HN Standard Plus 18-35</v>
      </c>
      <c r="F49" s="95">
        <v>3203</v>
      </c>
      <c r="G49" s="95">
        <v>300</v>
      </c>
      <c r="H49" s="95">
        <v>1200</v>
      </c>
      <c r="I49" s="82">
        <f>F49-G49</f>
        <v>2903</v>
      </c>
      <c r="J49" s="93"/>
      <c r="K49" s="109" t="s">
        <v>409</v>
      </c>
      <c r="L49" s="103" t="s">
        <v>385</v>
      </c>
      <c r="M49" s="94" t="s">
        <v>46</v>
      </c>
      <c r="N49" s="94" t="s">
        <v>5</v>
      </c>
      <c r="O49" s="94" t="str">
        <f t="shared" si="6"/>
        <v>Calssic Plan-2 HN Standard Plus 18-35</v>
      </c>
      <c r="P49" s="110">
        <f t="shared" ref="P49:R61" si="20">F49+(F49*$Q$3)</f>
        <v>3427</v>
      </c>
      <c r="Q49" s="110">
        <f t="shared" si="20"/>
        <v>321</v>
      </c>
      <c r="R49" s="110">
        <f t="shared" si="20"/>
        <v>1284</v>
      </c>
      <c r="S49" s="110">
        <f t="shared" si="19"/>
        <v>3106</v>
      </c>
    </row>
    <row r="50" spans="1:19" x14ac:dyDescent="0.3">
      <c r="A50" s="109" t="s">
        <v>412</v>
      </c>
      <c r="B50" s="103" t="s">
        <v>385</v>
      </c>
      <c r="C50" s="94" t="s">
        <v>47</v>
      </c>
      <c r="D50" s="94" t="s">
        <v>5</v>
      </c>
      <c r="E50" s="94" t="str">
        <f t="shared" si="5"/>
        <v>Calssic Plan-2R HN Standard Plus 36-45</v>
      </c>
      <c r="F50" s="95">
        <v>3796</v>
      </c>
      <c r="G50" s="95">
        <v>300</v>
      </c>
      <c r="H50" s="95">
        <v>1200</v>
      </c>
      <c r="I50" s="82">
        <f t="shared" ref="I50:I54" si="21">F50-G50</f>
        <v>3496</v>
      </c>
      <c r="J50" s="93"/>
      <c r="K50" s="109" t="s">
        <v>409</v>
      </c>
      <c r="L50" s="103" t="s">
        <v>385</v>
      </c>
      <c r="M50" s="94" t="s">
        <v>47</v>
      </c>
      <c r="N50" s="94" t="s">
        <v>5</v>
      </c>
      <c r="O50" s="94" t="str">
        <f t="shared" si="6"/>
        <v>Calssic Plan-2 HN Standard Plus 36-45</v>
      </c>
      <c r="P50" s="110">
        <f t="shared" si="20"/>
        <v>4062</v>
      </c>
      <c r="Q50" s="110">
        <f t="shared" si="20"/>
        <v>321</v>
      </c>
      <c r="R50" s="110">
        <f t="shared" si="20"/>
        <v>1284</v>
      </c>
      <c r="S50" s="110">
        <f t="shared" si="19"/>
        <v>3741</v>
      </c>
    </row>
    <row r="51" spans="1:19" x14ac:dyDescent="0.3">
      <c r="A51" s="109" t="s">
        <v>412</v>
      </c>
      <c r="B51" s="103" t="s">
        <v>385</v>
      </c>
      <c r="C51" s="94" t="s">
        <v>48</v>
      </c>
      <c r="D51" s="94" t="s">
        <v>5</v>
      </c>
      <c r="E51" s="94" t="str">
        <f t="shared" si="5"/>
        <v>Calssic Plan-2R HN Standard Plus 46-55</v>
      </c>
      <c r="F51" s="95">
        <v>5914</v>
      </c>
      <c r="G51" s="95">
        <v>300</v>
      </c>
      <c r="H51" s="95">
        <v>1200</v>
      </c>
      <c r="I51" s="82">
        <f t="shared" si="21"/>
        <v>5614</v>
      </c>
      <c r="J51" s="93"/>
      <c r="K51" s="109" t="s">
        <v>409</v>
      </c>
      <c r="L51" s="103" t="s">
        <v>385</v>
      </c>
      <c r="M51" s="94" t="s">
        <v>48</v>
      </c>
      <c r="N51" s="94" t="s">
        <v>5</v>
      </c>
      <c r="O51" s="94" t="str">
        <f t="shared" si="6"/>
        <v>Calssic Plan-2 HN Standard Plus 46-55</v>
      </c>
      <c r="P51" s="110">
        <f t="shared" si="20"/>
        <v>6328</v>
      </c>
      <c r="Q51" s="110">
        <f t="shared" si="20"/>
        <v>321</v>
      </c>
      <c r="R51" s="110">
        <f t="shared" si="20"/>
        <v>1284</v>
      </c>
      <c r="S51" s="110">
        <f t="shared" si="19"/>
        <v>6007</v>
      </c>
    </row>
    <row r="52" spans="1:19" x14ac:dyDescent="0.3">
      <c r="A52" s="109" t="s">
        <v>412</v>
      </c>
      <c r="B52" s="103" t="s">
        <v>385</v>
      </c>
      <c r="C52" s="94" t="s">
        <v>9</v>
      </c>
      <c r="D52" s="94" t="s">
        <v>5</v>
      </c>
      <c r="E52" s="94" t="str">
        <f t="shared" si="5"/>
        <v>Calssic Plan-2R HN Standard Plus 56-59</v>
      </c>
      <c r="F52" s="95">
        <v>8993</v>
      </c>
      <c r="G52" s="95">
        <v>300</v>
      </c>
      <c r="H52" s="95">
        <v>1200</v>
      </c>
      <c r="I52" s="82">
        <f t="shared" si="21"/>
        <v>8693</v>
      </c>
      <c r="J52" s="93"/>
      <c r="K52" s="109" t="s">
        <v>409</v>
      </c>
      <c r="L52" s="103" t="s">
        <v>385</v>
      </c>
      <c r="M52" s="94" t="s">
        <v>9</v>
      </c>
      <c r="N52" s="94" t="s">
        <v>5</v>
      </c>
      <c r="O52" s="94" t="str">
        <f t="shared" si="6"/>
        <v>Calssic Plan-2 HN Standard Plus 56-59</v>
      </c>
      <c r="P52" s="110">
        <f t="shared" si="20"/>
        <v>9623</v>
      </c>
      <c r="Q52" s="110">
        <f t="shared" si="20"/>
        <v>321</v>
      </c>
      <c r="R52" s="110">
        <f t="shared" si="20"/>
        <v>1284</v>
      </c>
      <c r="S52" s="110">
        <f t="shared" si="19"/>
        <v>9302</v>
      </c>
    </row>
    <row r="53" spans="1:19" x14ac:dyDescent="0.3">
      <c r="A53" s="109" t="s">
        <v>412</v>
      </c>
      <c r="B53" s="103" t="s">
        <v>385</v>
      </c>
      <c r="C53" s="94" t="s">
        <v>438</v>
      </c>
      <c r="D53" s="94" t="s">
        <v>5</v>
      </c>
      <c r="E53" s="94" t="str">
        <f t="shared" si="5"/>
        <v>Calssic Plan-2R HN Standard Plus 60 - 65</v>
      </c>
      <c r="F53" s="95">
        <v>10260</v>
      </c>
      <c r="G53" s="95">
        <v>300</v>
      </c>
      <c r="H53" s="95">
        <v>1200</v>
      </c>
      <c r="I53" s="82">
        <f t="shared" si="21"/>
        <v>9960</v>
      </c>
      <c r="J53" s="93"/>
      <c r="K53" s="109" t="s">
        <v>409</v>
      </c>
      <c r="L53" s="103" t="s">
        <v>385</v>
      </c>
      <c r="M53" s="94" t="s">
        <v>438</v>
      </c>
      <c r="N53" s="94" t="s">
        <v>5</v>
      </c>
      <c r="O53" s="94" t="str">
        <f t="shared" si="6"/>
        <v>Calssic Plan-2 HN Standard Plus 60 - 65</v>
      </c>
      <c r="P53" s="110">
        <f t="shared" si="20"/>
        <v>10978</v>
      </c>
      <c r="Q53" s="110">
        <f t="shared" si="20"/>
        <v>321</v>
      </c>
      <c r="R53" s="110">
        <f t="shared" si="20"/>
        <v>1284</v>
      </c>
      <c r="S53" s="110">
        <f t="shared" si="19"/>
        <v>10657</v>
      </c>
    </row>
    <row r="54" spans="1:19" x14ac:dyDescent="0.3">
      <c r="A54" s="109" t="s">
        <v>412</v>
      </c>
      <c r="B54" s="103" t="s">
        <v>385</v>
      </c>
      <c r="C54" s="94" t="s">
        <v>52</v>
      </c>
      <c r="D54" s="94" t="s">
        <v>5</v>
      </c>
      <c r="E54" s="94" t="str">
        <f t="shared" si="5"/>
        <v>Calssic Plan-2R HN Standard Plus 66 and above</v>
      </c>
      <c r="F54" s="95">
        <v>12334</v>
      </c>
      <c r="G54" s="95">
        <v>300</v>
      </c>
      <c r="H54" s="95">
        <v>1200</v>
      </c>
      <c r="I54" s="82">
        <f t="shared" si="21"/>
        <v>12034</v>
      </c>
      <c r="J54" s="93"/>
      <c r="K54" s="109" t="s">
        <v>409</v>
      </c>
      <c r="L54" s="103" t="s">
        <v>385</v>
      </c>
      <c r="M54" s="94" t="s">
        <v>52</v>
      </c>
      <c r="N54" s="94" t="s">
        <v>5</v>
      </c>
      <c r="O54" s="94" t="str">
        <f t="shared" si="6"/>
        <v>Calssic Plan-2 HN Standard Plus 66 and above</v>
      </c>
      <c r="P54" s="110">
        <f t="shared" si="20"/>
        <v>13197</v>
      </c>
      <c r="Q54" s="110">
        <f t="shared" si="20"/>
        <v>321</v>
      </c>
      <c r="R54" s="110">
        <f t="shared" si="20"/>
        <v>1284</v>
      </c>
      <c r="S54" s="110">
        <f t="shared" si="19"/>
        <v>12876</v>
      </c>
    </row>
    <row r="55" spans="1:19" x14ac:dyDescent="0.3">
      <c r="A55" s="109" t="s">
        <v>412</v>
      </c>
      <c r="B55" s="103" t="s">
        <v>385</v>
      </c>
      <c r="C55" s="94" t="s">
        <v>45</v>
      </c>
      <c r="D55" s="94" t="s">
        <v>7</v>
      </c>
      <c r="E55" s="94" t="str">
        <f t="shared" si="5"/>
        <v>Calssic Plan-2R HN Standard Plus 00-17</v>
      </c>
      <c r="F55" s="95">
        <v>3430</v>
      </c>
      <c r="G55" s="95">
        <v>300</v>
      </c>
      <c r="H55" s="95">
        <v>1200</v>
      </c>
      <c r="I55" s="82">
        <f>F55</f>
        <v>3430</v>
      </c>
      <c r="J55" s="93"/>
      <c r="K55" s="109" t="s">
        <v>409</v>
      </c>
      <c r="L55" s="103" t="s">
        <v>385</v>
      </c>
      <c r="M55" s="94" t="s">
        <v>45</v>
      </c>
      <c r="N55" s="94" t="s">
        <v>7</v>
      </c>
      <c r="O55" s="94" t="str">
        <f t="shared" si="6"/>
        <v>Calssic Plan-2 HN Standard Plus 00-17</v>
      </c>
      <c r="P55" s="110">
        <f t="shared" si="20"/>
        <v>3670</v>
      </c>
      <c r="Q55" s="110">
        <f t="shared" si="20"/>
        <v>321</v>
      </c>
      <c r="R55" s="110">
        <f t="shared" si="20"/>
        <v>1284</v>
      </c>
      <c r="S55" s="110">
        <f t="shared" si="19"/>
        <v>3349</v>
      </c>
    </row>
    <row r="56" spans="1:19" x14ac:dyDescent="0.3">
      <c r="A56" s="109" t="s">
        <v>412</v>
      </c>
      <c r="B56" s="103" t="s">
        <v>385</v>
      </c>
      <c r="C56" s="94" t="s">
        <v>46</v>
      </c>
      <c r="D56" s="94" t="s">
        <v>7</v>
      </c>
      <c r="E56" s="94" t="str">
        <f t="shared" si="5"/>
        <v>Calssic Plan-2R HN Standard Plus 18-35</v>
      </c>
      <c r="F56" s="95">
        <v>4907</v>
      </c>
      <c r="G56" s="95">
        <v>300</v>
      </c>
      <c r="H56" s="95">
        <v>1200</v>
      </c>
      <c r="I56" s="82">
        <f>F56-H56</f>
        <v>3707</v>
      </c>
      <c r="J56" s="93"/>
      <c r="K56" s="109" t="s">
        <v>409</v>
      </c>
      <c r="L56" s="103" t="s">
        <v>385</v>
      </c>
      <c r="M56" s="94" t="s">
        <v>46</v>
      </c>
      <c r="N56" s="94" t="s">
        <v>7</v>
      </c>
      <c r="O56" s="94" t="str">
        <f t="shared" si="6"/>
        <v>Calssic Plan-2 HN Standard Plus 18-35</v>
      </c>
      <c r="P56" s="110">
        <f t="shared" si="20"/>
        <v>5250</v>
      </c>
      <c r="Q56" s="110">
        <f t="shared" si="20"/>
        <v>321</v>
      </c>
      <c r="R56" s="110">
        <f t="shared" si="20"/>
        <v>1284</v>
      </c>
      <c r="S56" s="110">
        <f t="shared" si="19"/>
        <v>4929</v>
      </c>
    </row>
    <row r="57" spans="1:19" x14ac:dyDescent="0.3">
      <c r="A57" s="109" t="s">
        <v>412</v>
      </c>
      <c r="B57" s="103" t="s">
        <v>385</v>
      </c>
      <c r="C57" s="94" t="s">
        <v>47</v>
      </c>
      <c r="D57" s="94" t="s">
        <v>7</v>
      </c>
      <c r="E57" s="94" t="str">
        <f t="shared" si="5"/>
        <v>Calssic Plan-2R HN Standard Plus 36-45</v>
      </c>
      <c r="F57" s="95">
        <v>5572</v>
      </c>
      <c r="G57" s="95">
        <v>300</v>
      </c>
      <c r="H57" s="95">
        <v>1200</v>
      </c>
      <c r="I57" s="82">
        <f>F57-H57</f>
        <v>4372</v>
      </c>
      <c r="J57" s="93"/>
      <c r="K57" s="109" t="s">
        <v>409</v>
      </c>
      <c r="L57" s="103" t="s">
        <v>385</v>
      </c>
      <c r="M57" s="94" t="s">
        <v>47</v>
      </c>
      <c r="N57" s="94" t="s">
        <v>7</v>
      </c>
      <c r="O57" s="94" t="str">
        <f t="shared" si="6"/>
        <v>Calssic Plan-2 HN Standard Plus 36-45</v>
      </c>
      <c r="P57" s="110">
        <f t="shared" si="20"/>
        <v>5962</v>
      </c>
      <c r="Q57" s="110">
        <f t="shared" si="20"/>
        <v>321</v>
      </c>
      <c r="R57" s="110">
        <f t="shared" si="20"/>
        <v>1284</v>
      </c>
      <c r="S57" s="110">
        <f t="shared" si="19"/>
        <v>5641</v>
      </c>
    </row>
    <row r="58" spans="1:19" x14ac:dyDescent="0.3">
      <c r="A58" s="109" t="s">
        <v>412</v>
      </c>
      <c r="B58" s="103" t="s">
        <v>385</v>
      </c>
      <c r="C58" s="94" t="s">
        <v>48</v>
      </c>
      <c r="D58" s="94" t="s">
        <v>7</v>
      </c>
      <c r="E58" s="94" t="str">
        <f t="shared" si="5"/>
        <v>Calssic Plan-2R HN Standard Plus 46-55</v>
      </c>
      <c r="F58" s="95">
        <v>6953</v>
      </c>
      <c r="G58" s="95">
        <v>300</v>
      </c>
      <c r="H58" s="95">
        <v>1200</v>
      </c>
      <c r="I58" s="82">
        <f>F58</f>
        <v>6953</v>
      </c>
      <c r="J58" s="93"/>
      <c r="K58" s="109" t="s">
        <v>409</v>
      </c>
      <c r="L58" s="103" t="s">
        <v>385</v>
      </c>
      <c r="M58" s="94" t="s">
        <v>48</v>
      </c>
      <c r="N58" s="94" t="s">
        <v>7</v>
      </c>
      <c r="O58" s="94" t="str">
        <f t="shared" si="6"/>
        <v>Calssic Plan-2 HN Standard Plus 46-55</v>
      </c>
      <c r="P58" s="110">
        <f t="shared" si="20"/>
        <v>7440</v>
      </c>
      <c r="Q58" s="110">
        <f t="shared" si="20"/>
        <v>321</v>
      </c>
      <c r="R58" s="110">
        <f t="shared" si="20"/>
        <v>1284</v>
      </c>
      <c r="S58" s="110">
        <f t="shared" si="19"/>
        <v>7119</v>
      </c>
    </row>
    <row r="59" spans="1:19" x14ac:dyDescent="0.3">
      <c r="A59" s="109" t="s">
        <v>412</v>
      </c>
      <c r="B59" s="103" t="s">
        <v>385</v>
      </c>
      <c r="C59" s="94" t="s">
        <v>9</v>
      </c>
      <c r="D59" s="94" t="s">
        <v>7</v>
      </c>
      <c r="E59" s="94" t="str">
        <f t="shared" si="5"/>
        <v>Calssic Plan-2R HN Standard Plus 56-59</v>
      </c>
      <c r="F59" s="95">
        <v>10072</v>
      </c>
      <c r="G59" s="95">
        <v>300</v>
      </c>
      <c r="H59" s="95">
        <v>1200</v>
      </c>
      <c r="I59" s="82">
        <f t="shared" ref="I59:I61" si="22">F59</f>
        <v>10072</v>
      </c>
      <c r="J59" s="93"/>
      <c r="K59" s="109" t="s">
        <v>409</v>
      </c>
      <c r="L59" s="103" t="s">
        <v>385</v>
      </c>
      <c r="M59" s="94" t="s">
        <v>9</v>
      </c>
      <c r="N59" s="94" t="s">
        <v>7</v>
      </c>
      <c r="O59" s="94" t="str">
        <f t="shared" si="6"/>
        <v>Calssic Plan-2 HN Standard Plus 56-59</v>
      </c>
      <c r="P59" s="110">
        <f t="shared" si="20"/>
        <v>10777</v>
      </c>
      <c r="Q59" s="110">
        <f t="shared" si="20"/>
        <v>321</v>
      </c>
      <c r="R59" s="110">
        <f t="shared" si="20"/>
        <v>1284</v>
      </c>
      <c r="S59" s="110">
        <f t="shared" si="19"/>
        <v>10456</v>
      </c>
    </row>
    <row r="60" spans="1:19" x14ac:dyDescent="0.3">
      <c r="A60" s="109" t="s">
        <v>412</v>
      </c>
      <c r="B60" s="103" t="s">
        <v>385</v>
      </c>
      <c r="C60" s="94" t="s">
        <v>438</v>
      </c>
      <c r="D60" s="94" t="s">
        <v>7</v>
      </c>
      <c r="E60" s="94" t="str">
        <f t="shared" si="5"/>
        <v>Calssic Plan-2R HN Standard Plus 60 - 65</v>
      </c>
      <c r="F60" s="95">
        <v>10260</v>
      </c>
      <c r="G60" s="95">
        <v>300</v>
      </c>
      <c r="H60" s="95">
        <v>1200</v>
      </c>
      <c r="I60" s="82">
        <f t="shared" si="22"/>
        <v>10260</v>
      </c>
      <c r="J60" s="93"/>
      <c r="K60" s="109" t="s">
        <v>409</v>
      </c>
      <c r="L60" s="103" t="s">
        <v>385</v>
      </c>
      <c r="M60" s="94" t="s">
        <v>438</v>
      </c>
      <c r="N60" s="94" t="s">
        <v>7</v>
      </c>
      <c r="O60" s="94" t="str">
        <f t="shared" si="6"/>
        <v>Calssic Plan-2 HN Standard Plus 60 - 65</v>
      </c>
      <c r="P60" s="110">
        <f t="shared" si="20"/>
        <v>10978</v>
      </c>
      <c r="Q60" s="110">
        <f t="shared" si="20"/>
        <v>321</v>
      </c>
      <c r="R60" s="110">
        <f t="shared" si="20"/>
        <v>1284</v>
      </c>
      <c r="S60" s="110">
        <f t="shared" si="19"/>
        <v>10657</v>
      </c>
    </row>
    <row r="61" spans="1:19" x14ac:dyDescent="0.3">
      <c r="A61" s="109" t="s">
        <v>412</v>
      </c>
      <c r="B61" s="103" t="s">
        <v>385</v>
      </c>
      <c r="C61" s="94" t="s">
        <v>52</v>
      </c>
      <c r="D61" s="94" t="s">
        <v>7</v>
      </c>
      <c r="E61" s="94" t="str">
        <f t="shared" si="5"/>
        <v>Calssic Plan-2R HN Standard Plus 66 and above</v>
      </c>
      <c r="F61" s="95">
        <v>12334</v>
      </c>
      <c r="G61" s="95">
        <v>300</v>
      </c>
      <c r="H61" s="95">
        <v>1200</v>
      </c>
      <c r="I61" s="82">
        <f t="shared" si="22"/>
        <v>12334</v>
      </c>
      <c r="J61" s="93"/>
      <c r="K61" s="109" t="s">
        <v>409</v>
      </c>
      <c r="L61" s="103" t="s">
        <v>385</v>
      </c>
      <c r="M61" s="94" t="s">
        <v>52</v>
      </c>
      <c r="N61" s="94" t="s">
        <v>7</v>
      </c>
      <c r="O61" s="94" t="str">
        <f t="shared" si="6"/>
        <v>Calssic Plan-2 HN Standard Plus 66 and above</v>
      </c>
      <c r="P61" s="110">
        <f t="shared" si="20"/>
        <v>13197</v>
      </c>
      <c r="Q61" s="110">
        <f t="shared" si="20"/>
        <v>321</v>
      </c>
      <c r="R61" s="110">
        <f t="shared" si="20"/>
        <v>1284</v>
      </c>
      <c r="S61" s="110">
        <f t="shared" si="19"/>
        <v>12876</v>
      </c>
    </row>
    <row r="62" spans="1:19" x14ac:dyDescent="0.3">
      <c r="A62" s="109" t="s">
        <v>413</v>
      </c>
      <c r="B62" s="103" t="s">
        <v>386</v>
      </c>
      <c r="C62" s="94" t="s">
        <v>45</v>
      </c>
      <c r="D62" s="94" t="s">
        <v>5</v>
      </c>
      <c r="E62" s="94" t="str">
        <f t="shared" si="5"/>
        <v>Calssic Plan-3R HN Standard 00-17</v>
      </c>
      <c r="F62" s="95">
        <v>2310</v>
      </c>
      <c r="G62" s="95">
        <v>300</v>
      </c>
      <c r="H62" s="95">
        <v>1100</v>
      </c>
      <c r="I62" s="82">
        <f>F62-G62</f>
        <v>2010</v>
      </c>
      <c r="J62" s="93"/>
      <c r="K62" s="109" t="s">
        <v>410</v>
      </c>
      <c r="L62" s="103" t="s">
        <v>386</v>
      </c>
      <c r="M62" s="94" t="s">
        <v>45</v>
      </c>
      <c r="N62" s="94" t="s">
        <v>5</v>
      </c>
      <c r="O62" s="94" t="str">
        <f t="shared" si="6"/>
        <v>Calssic Plan-3 HN Standard 00-17</v>
      </c>
      <c r="P62" s="110">
        <f>F62+(F62*$Q$3)</f>
        <v>2472</v>
      </c>
      <c r="Q62" s="110">
        <f>G62+(G62*$Q$3)</f>
        <v>321</v>
      </c>
      <c r="R62" s="110">
        <f>H62+(H62*$Q$3)</f>
        <v>1177</v>
      </c>
      <c r="S62" s="110">
        <f t="shared" si="19"/>
        <v>2151</v>
      </c>
    </row>
    <row r="63" spans="1:19" x14ac:dyDescent="0.3">
      <c r="A63" s="109" t="s">
        <v>413</v>
      </c>
      <c r="B63" s="103" t="s">
        <v>386</v>
      </c>
      <c r="C63" s="94" t="s">
        <v>46</v>
      </c>
      <c r="D63" s="94" t="s">
        <v>5</v>
      </c>
      <c r="E63" s="94" t="str">
        <f t="shared" si="5"/>
        <v>Calssic Plan-3R HN Standard 18-35</v>
      </c>
      <c r="F63" s="95">
        <v>2606</v>
      </c>
      <c r="G63" s="95">
        <v>300</v>
      </c>
      <c r="H63" s="95">
        <v>1100</v>
      </c>
      <c r="I63" s="82">
        <f>F63-G63</f>
        <v>2306</v>
      </c>
      <c r="J63" s="93"/>
      <c r="K63" s="109" t="s">
        <v>410</v>
      </c>
      <c r="L63" s="103" t="s">
        <v>386</v>
      </c>
      <c r="M63" s="94" t="s">
        <v>46</v>
      </c>
      <c r="N63" s="94" t="s">
        <v>5</v>
      </c>
      <c r="O63" s="94" t="str">
        <f t="shared" si="6"/>
        <v>Calssic Plan-3 HN Standard 18-35</v>
      </c>
      <c r="P63" s="110">
        <f t="shared" ref="P63:R75" si="23">F63+(F63*$Q$3)</f>
        <v>2788</v>
      </c>
      <c r="Q63" s="110">
        <f t="shared" si="23"/>
        <v>321</v>
      </c>
      <c r="R63" s="110">
        <f t="shared" si="23"/>
        <v>1177</v>
      </c>
      <c r="S63" s="110">
        <f t="shared" si="19"/>
        <v>2467</v>
      </c>
    </row>
    <row r="64" spans="1:19" x14ac:dyDescent="0.3">
      <c r="A64" s="109" t="s">
        <v>413</v>
      </c>
      <c r="B64" s="103" t="s">
        <v>386</v>
      </c>
      <c r="C64" s="94" t="s">
        <v>47</v>
      </c>
      <c r="D64" s="94" t="s">
        <v>5</v>
      </c>
      <c r="E64" s="94" t="str">
        <f t="shared" si="5"/>
        <v>Calssic Plan-3R HN Standard 36-45</v>
      </c>
      <c r="F64" s="95">
        <v>2968</v>
      </c>
      <c r="G64" s="95">
        <v>300</v>
      </c>
      <c r="H64" s="95">
        <v>1100</v>
      </c>
      <c r="I64" s="82">
        <f t="shared" ref="I64:I68" si="24">F64-G64</f>
        <v>2668</v>
      </c>
      <c r="J64" s="93"/>
      <c r="K64" s="109" t="s">
        <v>410</v>
      </c>
      <c r="L64" s="103" t="s">
        <v>386</v>
      </c>
      <c r="M64" s="94" t="s">
        <v>47</v>
      </c>
      <c r="N64" s="94" t="s">
        <v>5</v>
      </c>
      <c r="O64" s="94" t="str">
        <f t="shared" si="6"/>
        <v>Calssic Plan-3 HN Standard 36-45</v>
      </c>
      <c r="P64" s="110">
        <f t="shared" si="23"/>
        <v>3176</v>
      </c>
      <c r="Q64" s="110">
        <f t="shared" si="23"/>
        <v>321</v>
      </c>
      <c r="R64" s="110">
        <f t="shared" si="23"/>
        <v>1177</v>
      </c>
      <c r="S64" s="110">
        <f t="shared" si="19"/>
        <v>2855</v>
      </c>
    </row>
    <row r="65" spans="1:19" x14ac:dyDescent="0.3">
      <c r="A65" s="109" t="s">
        <v>413</v>
      </c>
      <c r="B65" s="103" t="s">
        <v>386</v>
      </c>
      <c r="C65" s="94" t="s">
        <v>48</v>
      </c>
      <c r="D65" s="94" t="s">
        <v>5</v>
      </c>
      <c r="E65" s="94" t="str">
        <f t="shared" si="5"/>
        <v>Calssic Plan-3R HN Standard 46-55</v>
      </c>
      <c r="F65" s="95">
        <v>4207</v>
      </c>
      <c r="G65" s="95">
        <v>300</v>
      </c>
      <c r="H65" s="95">
        <v>1100</v>
      </c>
      <c r="I65" s="82">
        <f t="shared" si="24"/>
        <v>3907</v>
      </c>
      <c r="J65" s="93"/>
      <c r="K65" s="109" t="s">
        <v>410</v>
      </c>
      <c r="L65" s="103" t="s">
        <v>386</v>
      </c>
      <c r="M65" s="94" t="s">
        <v>48</v>
      </c>
      <c r="N65" s="94" t="s">
        <v>5</v>
      </c>
      <c r="O65" s="94" t="str">
        <f t="shared" si="6"/>
        <v>Calssic Plan-3 HN Standard 46-55</v>
      </c>
      <c r="P65" s="110">
        <f t="shared" si="23"/>
        <v>4501</v>
      </c>
      <c r="Q65" s="110">
        <f t="shared" si="23"/>
        <v>321</v>
      </c>
      <c r="R65" s="110">
        <f t="shared" si="23"/>
        <v>1177</v>
      </c>
      <c r="S65" s="110">
        <f t="shared" si="19"/>
        <v>4180</v>
      </c>
    </row>
    <row r="66" spans="1:19" x14ac:dyDescent="0.3">
      <c r="A66" s="109" t="s">
        <v>413</v>
      </c>
      <c r="B66" s="103" t="s">
        <v>386</v>
      </c>
      <c r="C66" s="94" t="s">
        <v>9</v>
      </c>
      <c r="D66" s="94" t="s">
        <v>5</v>
      </c>
      <c r="E66" s="94" t="str">
        <f t="shared" si="5"/>
        <v>Calssic Plan-3R HN Standard 56-59</v>
      </c>
      <c r="F66" s="95">
        <v>5678</v>
      </c>
      <c r="G66" s="95">
        <v>300</v>
      </c>
      <c r="H66" s="95">
        <v>1100</v>
      </c>
      <c r="I66" s="82">
        <f t="shared" si="24"/>
        <v>5378</v>
      </c>
      <c r="J66" s="93"/>
      <c r="K66" s="109" t="s">
        <v>410</v>
      </c>
      <c r="L66" s="103" t="s">
        <v>386</v>
      </c>
      <c r="M66" s="94" t="s">
        <v>9</v>
      </c>
      <c r="N66" s="94" t="s">
        <v>5</v>
      </c>
      <c r="O66" s="94" t="str">
        <f t="shared" si="6"/>
        <v>Calssic Plan-3 HN Standard 56-59</v>
      </c>
      <c r="P66" s="110">
        <f t="shared" si="23"/>
        <v>6075</v>
      </c>
      <c r="Q66" s="110">
        <f t="shared" si="23"/>
        <v>321</v>
      </c>
      <c r="R66" s="110">
        <f t="shared" si="23"/>
        <v>1177</v>
      </c>
      <c r="S66" s="110">
        <f t="shared" si="19"/>
        <v>5754</v>
      </c>
    </row>
    <row r="67" spans="1:19" x14ac:dyDescent="0.3">
      <c r="A67" s="109" t="s">
        <v>413</v>
      </c>
      <c r="B67" s="103" t="s">
        <v>386</v>
      </c>
      <c r="C67" s="94" t="s">
        <v>438</v>
      </c>
      <c r="D67" s="94" t="s">
        <v>5</v>
      </c>
      <c r="E67" s="94" t="str">
        <f t="shared" si="5"/>
        <v>Calssic Plan-3R HN Standard 60 - 65</v>
      </c>
      <c r="F67" s="95">
        <v>7323</v>
      </c>
      <c r="G67" s="95">
        <v>300</v>
      </c>
      <c r="H67" s="95">
        <v>1100</v>
      </c>
      <c r="I67" s="82">
        <f t="shared" si="24"/>
        <v>7023</v>
      </c>
      <c r="J67" s="93"/>
      <c r="K67" s="109" t="s">
        <v>410</v>
      </c>
      <c r="L67" s="103" t="s">
        <v>386</v>
      </c>
      <c r="M67" s="94" t="s">
        <v>438</v>
      </c>
      <c r="N67" s="94" t="s">
        <v>5</v>
      </c>
      <c r="O67" s="94" t="str">
        <f t="shared" si="6"/>
        <v>Calssic Plan-3 HN Standard 60 - 65</v>
      </c>
      <c r="P67" s="110">
        <f t="shared" si="23"/>
        <v>7836</v>
      </c>
      <c r="Q67" s="110">
        <f t="shared" si="23"/>
        <v>321</v>
      </c>
      <c r="R67" s="110">
        <f t="shared" si="23"/>
        <v>1177</v>
      </c>
      <c r="S67" s="110">
        <f t="shared" si="19"/>
        <v>7515</v>
      </c>
    </row>
    <row r="68" spans="1:19" x14ac:dyDescent="0.3">
      <c r="A68" s="109" t="s">
        <v>413</v>
      </c>
      <c r="B68" s="103" t="s">
        <v>386</v>
      </c>
      <c r="C68" s="94" t="s">
        <v>52</v>
      </c>
      <c r="D68" s="94" t="s">
        <v>5</v>
      </c>
      <c r="E68" s="94" t="str">
        <f t="shared" si="5"/>
        <v>Calssic Plan-3R HN Standard 66 and above</v>
      </c>
      <c r="F68" s="95">
        <v>9702</v>
      </c>
      <c r="G68" s="95">
        <v>300</v>
      </c>
      <c r="H68" s="95">
        <v>1100</v>
      </c>
      <c r="I68" s="82">
        <f t="shared" si="24"/>
        <v>9402</v>
      </c>
      <c r="J68" s="93"/>
      <c r="K68" s="109" t="s">
        <v>410</v>
      </c>
      <c r="L68" s="103" t="s">
        <v>386</v>
      </c>
      <c r="M68" s="94" t="s">
        <v>52</v>
      </c>
      <c r="N68" s="94" t="s">
        <v>5</v>
      </c>
      <c r="O68" s="94" t="str">
        <f t="shared" si="6"/>
        <v>Calssic Plan-3 HN Standard 66 and above</v>
      </c>
      <c r="P68" s="110">
        <f t="shared" si="23"/>
        <v>10381</v>
      </c>
      <c r="Q68" s="110">
        <f t="shared" si="23"/>
        <v>321</v>
      </c>
      <c r="R68" s="110">
        <f t="shared" si="23"/>
        <v>1177</v>
      </c>
      <c r="S68" s="110">
        <f t="shared" si="19"/>
        <v>10060</v>
      </c>
    </row>
    <row r="69" spans="1:19" x14ac:dyDescent="0.3">
      <c r="A69" s="109" t="s">
        <v>413</v>
      </c>
      <c r="B69" s="103" t="s">
        <v>386</v>
      </c>
      <c r="C69" s="94" t="s">
        <v>45</v>
      </c>
      <c r="D69" s="94" t="s">
        <v>7</v>
      </c>
      <c r="E69" s="94" t="str">
        <f t="shared" si="5"/>
        <v>Calssic Plan-3R HN Standard 00-17</v>
      </c>
      <c r="F69" s="95">
        <v>2426</v>
      </c>
      <c r="G69" s="95">
        <v>300</v>
      </c>
      <c r="H69" s="95">
        <v>1100</v>
      </c>
      <c r="I69" s="82">
        <f>F69</f>
        <v>2426</v>
      </c>
      <c r="J69" s="93"/>
      <c r="K69" s="109" t="s">
        <v>410</v>
      </c>
      <c r="L69" s="103" t="s">
        <v>386</v>
      </c>
      <c r="M69" s="94" t="s">
        <v>45</v>
      </c>
      <c r="N69" s="94" t="s">
        <v>7</v>
      </c>
      <c r="O69" s="94" t="str">
        <f t="shared" si="6"/>
        <v>Calssic Plan-3 HN Standard 00-17</v>
      </c>
      <c r="P69" s="110">
        <f t="shared" si="23"/>
        <v>2596</v>
      </c>
      <c r="Q69" s="110">
        <f t="shared" si="23"/>
        <v>321</v>
      </c>
      <c r="R69" s="110">
        <f t="shared" si="23"/>
        <v>1177</v>
      </c>
      <c r="S69" s="110">
        <f t="shared" si="19"/>
        <v>2275</v>
      </c>
    </row>
    <row r="70" spans="1:19" x14ac:dyDescent="0.3">
      <c r="A70" s="109" t="s">
        <v>413</v>
      </c>
      <c r="B70" s="103" t="s">
        <v>386</v>
      </c>
      <c r="C70" s="94" t="s">
        <v>46</v>
      </c>
      <c r="D70" s="94" t="s">
        <v>7</v>
      </c>
      <c r="E70" s="94" t="str">
        <f t="shared" si="5"/>
        <v>Calssic Plan-3R HN Standard 18-35</v>
      </c>
      <c r="F70" s="95">
        <v>3946</v>
      </c>
      <c r="G70" s="95">
        <v>300</v>
      </c>
      <c r="H70" s="95">
        <v>1100</v>
      </c>
      <c r="I70" s="82">
        <f>F70-H70</f>
        <v>2846</v>
      </c>
      <c r="J70" s="93"/>
      <c r="K70" s="109" t="s">
        <v>410</v>
      </c>
      <c r="L70" s="103" t="s">
        <v>386</v>
      </c>
      <c r="M70" s="94" t="s">
        <v>46</v>
      </c>
      <c r="N70" s="94" t="s">
        <v>7</v>
      </c>
      <c r="O70" s="94" t="str">
        <f t="shared" si="6"/>
        <v>Calssic Plan-3 HN Standard 18-35</v>
      </c>
      <c r="P70" s="110">
        <f t="shared" si="23"/>
        <v>4222</v>
      </c>
      <c r="Q70" s="110">
        <f t="shared" si="23"/>
        <v>321</v>
      </c>
      <c r="R70" s="110">
        <f t="shared" si="23"/>
        <v>1177</v>
      </c>
      <c r="S70" s="110">
        <f t="shared" si="19"/>
        <v>3901</v>
      </c>
    </row>
    <row r="71" spans="1:19" x14ac:dyDescent="0.3">
      <c r="A71" s="109" t="s">
        <v>413</v>
      </c>
      <c r="B71" s="103" t="s">
        <v>386</v>
      </c>
      <c r="C71" s="94" t="s">
        <v>47</v>
      </c>
      <c r="D71" s="94" t="s">
        <v>7</v>
      </c>
      <c r="E71" s="94" t="str">
        <f t="shared" ref="E71:E89" si="25">CONCATENATE(A71," ",B71," ",C71)</f>
        <v>Calssic Plan-3R HN Standard 36-45</v>
      </c>
      <c r="F71" s="95">
        <v>4326</v>
      </c>
      <c r="G71" s="95">
        <v>300</v>
      </c>
      <c r="H71" s="95">
        <v>1100</v>
      </c>
      <c r="I71" s="82">
        <f>F71-H71</f>
        <v>3226</v>
      </c>
      <c r="J71" s="93"/>
      <c r="K71" s="109" t="s">
        <v>410</v>
      </c>
      <c r="L71" s="103" t="s">
        <v>386</v>
      </c>
      <c r="M71" s="94" t="s">
        <v>47</v>
      </c>
      <c r="N71" s="94" t="s">
        <v>7</v>
      </c>
      <c r="O71" s="94" t="str">
        <f t="shared" ref="O71:O89" si="26">CONCATENATE(K71," ",L71," ",M71)</f>
        <v>Calssic Plan-3 HN Standard 36-45</v>
      </c>
      <c r="P71" s="110">
        <f t="shared" si="23"/>
        <v>4629</v>
      </c>
      <c r="Q71" s="110">
        <f t="shared" si="23"/>
        <v>321</v>
      </c>
      <c r="R71" s="110">
        <f t="shared" si="23"/>
        <v>1177</v>
      </c>
      <c r="S71" s="110">
        <f t="shared" si="19"/>
        <v>4308</v>
      </c>
    </row>
    <row r="72" spans="1:19" x14ac:dyDescent="0.3">
      <c r="A72" s="109" t="s">
        <v>413</v>
      </c>
      <c r="B72" s="103" t="s">
        <v>386</v>
      </c>
      <c r="C72" s="94" t="s">
        <v>48</v>
      </c>
      <c r="D72" s="94" t="s">
        <v>7</v>
      </c>
      <c r="E72" s="94" t="str">
        <f t="shared" si="25"/>
        <v>Calssic Plan-3R HN Standard 46-55</v>
      </c>
      <c r="F72" s="95">
        <v>5045</v>
      </c>
      <c r="G72" s="95">
        <v>300</v>
      </c>
      <c r="H72" s="95">
        <v>1100</v>
      </c>
      <c r="I72" s="82">
        <f>F72</f>
        <v>5045</v>
      </c>
      <c r="J72" s="93"/>
      <c r="K72" s="109" t="s">
        <v>410</v>
      </c>
      <c r="L72" s="103" t="s">
        <v>386</v>
      </c>
      <c r="M72" s="94" t="s">
        <v>48</v>
      </c>
      <c r="N72" s="94" t="s">
        <v>7</v>
      </c>
      <c r="O72" s="94" t="str">
        <f t="shared" si="26"/>
        <v>Calssic Plan-3 HN Standard 46-55</v>
      </c>
      <c r="P72" s="110">
        <f t="shared" si="23"/>
        <v>5398</v>
      </c>
      <c r="Q72" s="110">
        <f t="shared" si="23"/>
        <v>321</v>
      </c>
      <c r="R72" s="110">
        <f t="shared" si="23"/>
        <v>1177</v>
      </c>
      <c r="S72" s="110">
        <f t="shared" si="19"/>
        <v>5077</v>
      </c>
    </row>
    <row r="73" spans="1:19" x14ac:dyDescent="0.3">
      <c r="A73" s="109" t="s">
        <v>413</v>
      </c>
      <c r="B73" s="103" t="s">
        <v>386</v>
      </c>
      <c r="C73" s="94" t="s">
        <v>9</v>
      </c>
      <c r="D73" s="94" t="s">
        <v>7</v>
      </c>
      <c r="E73" s="94" t="str">
        <f t="shared" si="25"/>
        <v>Calssic Plan-3R HN Standard 56-59</v>
      </c>
      <c r="F73" s="95">
        <v>6237</v>
      </c>
      <c r="G73" s="95">
        <v>300</v>
      </c>
      <c r="H73" s="95">
        <v>1100</v>
      </c>
      <c r="I73" s="82">
        <f t="shared" ref="I73:I75" si="27">F73</f>
        <v>6237</v>
      </c>
      <c r="J73" s="93"/>
      <c r="K73" s="109" t="s">
        <v>410</v>
      </c>
      <c r="L73" s="103" t="s">
        <v>386</v>
      </c>
      <c r="M73" s="94" t="s">
        <v>9</v>
      </c>
      <c r="N73" s="94" t="s">
        <v>7</v>
      </c>
      <c r="O73" s="94" t="str">
        <f t="shared" si="26"/>
        <v>Calssic Plan-3 HN Standard 56-59</v>
      </c>
      <c r="P73" s="110">
        <f t="shared" si="23"/>
        <v>6674</v>
      </c>
      <c r="Q73" s="110">
        <f t="shared" si="23"/>
        <v>321</v>
      </c>
      <c r="R73" s="110">
        <f t="shared" si="23"/>
        <v>1177</v>
      </c>
      <c r="S73" s="110">
        <f t="shared" si="19"/>
        <v>6353</v>
      </c>
    </row>
    <row r="74" spans="1:19" x14ac:dyDescent="0.3">
      <c r="A74" s="109" t="s">
        <v>413</v>
      </c>
      <c r="B74" s="103" t="s">
        <v>386</v>
      </c>
      <c r="C74" s="94" t="s">
        <v>438</v>
      </c>
      <c r="D74" s="94" t="s">
        <v>7</v>
      </c>
      <c r="E74" s="94" t="str">
        <f t="shared" si="25"/>
        <v>Calssic Plan-3R HN Standard 60 - 65</v>
      </c>
      <c r="F74" s="95">
        <v>7323</v>
      </c>
      <c r="G74" s="95">
        <v>300</v>
      </c>
      <c r="H74" s="95">
        <v>1100</v>
      </c>
      <c r="I74" s="82">
        <f t="shared" si="27"/>
        <v>7323</v>
      </c>
      <c r="J74" s="93"/>
      <c r="K74" s="109" t="s">
        <v>410</v>
      </c>
      <c r="L74" s="103" t="s">
        <v>386</v>
      </c>
      <c r="M74" s="94" t="s">
        <v>438</v>
      </c>
      <c r="N74" s="94" t="s">
        <v>7</v>
      </c>
      <c r="O74" s="94" t="str">
        <f t="shared" si="26"/>
        <v>Calssic Plan-3 HN Standard 60 - 65</v>
      </c>
      <c r="P74" s="110">
        <f t="shared" si="23"/>
        <v>7836</v>
      </c>
      <c r="Q74" s="110">
        <f t="shared" si="23"/>
        <v>321</v>
      </c>
      <c r="R74" s="110">
        <f t="shared" si="23"/>
        <v>1177</v>
      </c>
      <c r="S74" s="110">
        <f t="shared" si="19"/>
        <v>7515</v>
      </c>
    </row>
    <row r="75" spans="1:19" x14ac:dyDescent="0.3">
      <c r="A75" s="109" t="s">
        <v>413</v>
      </c>
      <c r="B75" s="103" t="s">
        <v>386</v>
      </c>
      <c r="C75" s="94" t="s">
        <v>52</v>
      </c>
      <c r="D75" s="94" t="s">
        <v>7</v>
      </c>
      <c r="E75" s="94" t="str">
        <f t="shared" si="25"/>
        <v>Calssic Plan-3R HN Standard 66 and above</v>
      </c>
      <c r="F75" s="95">
        <v>9702</v>
      </c>
      <c r="G75" s="95">
        <v>300</v>
      </c>
      <c r="H75" s="95">
        <v>1100</v>
      </c>
      <c r="I75" s="82">
        <f t="shared" si="27"/>
        <v>9702</v>
      </c>
      <c r="J75" s="93"/>
      <c r="K75" s="109" t="s">
        <v>410</v>
      </c>
      <c r="L75" s="103" t="s">
        <v>386</v>
      </c>
      <c r="M75" s="94" t="s">
        <v>52</v>
      </c>
      <c r="N75" s="94" t="s">
        <v>7</v>
      </c>
      <c r="O75" s="94" t="str">
        <f t="shared" si="26"/>
        <v>Calssic Plan-3 HN Standard 66 and above</v>
      </c>
      <c r="P75" s="110">
        <f t="shared" si="23"/>
        <v>10381</v>
      </c>
      <c r="Q75" s="110">
        <f t="shared" si="23"/>
        <v>321</v>
      </c>
      <c r="R75" s="110">
        <f t="shared" si="23"/>
        <v>1177</v>
      </c>
      <c r="S75" s="110">
        <f t="shared" si="19"/>
        <v>10060</v>
      </c>
    </row>
    <row r="76" spans="1:19" x14ac:dyDescent="0.3">
      <c r="A76" s="109" t="s">
        <v>414</v>
      </c>
      <c r="B76" s="103" t="s">
        <v>387</v>
      </c>
      <c r="C76" s="94" t="s">
        <v>45</v>
      </c>
      <c r="D76" s="94" t="s">
        <v>5</v>
      </c>
      <c r="E76" s="94" t="str">
        <f t="shared" si="25"/>
        <v>Calssic Plan-4R HN Basic Plus 00-17</v>
      </c>
      <c r="F76" s="95">
        <v>1617</v>
      </c>
      <c r="G76" s="95">
        <v>210</v>
      </c>
      <c r="H76" s="95">
        <v>770</v>
      </c>
      <c r="I76" s="82">
        <f>F76-G76</f>
        <v>1407</v>
      </c>
      <c r="J76" s="93"/>
      <c r="K76" s="109" t="s">
        <v>411</v>
      </c>
      <c r="L76" s="103" t="s">
        <v>387</v>
      </c>
      <c r="M76" s="94" t="s">
        <v>45</v>
      </c>
      <c r="N76" s="94" t="s">
        <v>5</v>
      </c>
      <c r="O76" s="94" t="str">
        <f t="shared" si="26"/>
        <v>Calssic Plan-4 HN Basic Plus 00-17</v>
      </c>
      <c r="P76" s="110">
        <f>F76+(F76*$Q$4)</f>
        <v>1746</v>
      </c>
      <c r="Q76" s="110">
        <f>G76+(G76*$Q$4)</f>
        <v>227</v>
      </c>
      <c r="R76" s="110">
        <f>H76+(H76*$Q$4)</f>
        <v>832</v>
      </c>
      <c r="S76" s="110">
        <f t="shared" si="19"/>
        <v>1519</v>
      </c>
    </row>
    <row r="77" spans="1:19" x14ac:dyDescent="0.3">
      <c r="A77" s="109" t="s">
        <v>414</v>
      </c>
      <c r="B77" s="103" t="s">
        <v>387</v>
      </c>
      <c r="C77" s="94" t="s">
        <v>46</v>
      </c>
      <c r="D77" s="94" t="s">
        <v>5</v>
      </c>
      <c r="E77" s="94" t="str">
        <f t="shared" si="25"/>
        <v>Calssic Plan-4R HN Basic Plus 18-35</v>
      </c>
      <c r="F77" s="95">
        <v>1824</v>
      </c>
      <c r="G77" s="95">
        <v>210</v>
      </c>
      <c r="H77" s="95">
        <v>770</v>
      </c>
      <c r="I77" s="82">
        <f>F77-G77</f>
        <v>1614</v>
      </c>
      <c r="J77" s="93"/>
      <c r="K77" s="109" t="s">
        <v>411</v>
      </c>
      <c r="L77" s="103" t="s">
        <v>387</v>
      </c>
      <c r="M77" s="94" t="s">
        <v>46</v>
      </c>
      <c r="N77" s="94" t="s">
        <v>5</v>
      </c>
      <c r="O77" s="94" t="str">
        <f t="shared" si="26"/>
        <v>Calssic Plan-4 HN Basic Plus 18-35</v>
      </c>
      <c r="P77" s="110">
        <f t="shared" ref="P77:R89" si="28">F77+(F77*$Q$4)</f>
        <v>1970</v>
      </c>
      <c r="Q77" s="110">
        <f t="shared" si="28"/>
        <v>227</v>
      </c>
      <c r="R77" s="110">
        <f t="shared" si="28"/>
        <v>832</v>
      </c>
      <c r="S77" s="110">
        <f t="shared" si="19"/>
        <v>1743</v>
      </c>
    </row>
    <row r="78" spans="1:19" x14ac:dyDescent="0.3">
      <c r="A78" s="109" t="s">
        <v>414</v>
      </c>
      <c r="B78" s="103" t="s">
        <v>387</v>
      </c>
      <c r="C78" s="94" t="s">
        <v>47</v>
      </c>
      <c r="D78" s="94" t="s">
        <v>5</v>
      </c>
      <c r="E78" s="94" t="str">
        <f t="shared" si="25"/>
        <v>Calssic Plan-4R HN Basic Plus 36-45</v>
      </c>
      <c r="F78" s="95">
        <v>2078</v>
      </c>
      <c r="G78" s="95">
        <v>210</v>
      </c>
      <c r="H78" s="95">
        <v>770</v>
      </c>
      <c r="I78" s="82">
        <f t="shared" ref="I78:I82" si="29">F78-G78</f>
        <v>1868</v>
      </c>
      <c r="J78" s="93"/>
      <c r="K78" s="109" t="s">
        <v>411</v>
      </c>
      <c r="L78" s="103" t="s">
        <v>387</v>
      </c>
      <c r="M78" s="94" t="s">
        <v>47</v>
      </c>
      <c r="N78" s="94" t="s">
        <v>5</v>
      </c>
      <c r="O78" s="94" t="str">
        <f t="shared" si="26"/>
        <v>Calssic Plan-4 HN Basic Plus 36-45</v>
      </c>
      <c r="P78" s="110">
        <f t="shared" si="28"/>
        <v>2244</v>
      </c>
      <c r="Q78" s="110">
        <f t="shared" si="28"/>
        <v>227</v>
      </c>
      <c r="R78" s="110">
        <f t="shared" si="28"/>
        <v>832</v>
      </c>
      <c r="S78" s="110">
        <f t="shared" si="19"/>
        <v>2017</v>
      </c>
    </row>
    <row r="79" spans="1:19" x14ac:dyDescent="0.3">
      <c r="A79" s="109" t="s">
        <v>414</v>
      </c>
      <c r="B79" s="103" t="s">
        <v>387</v>
      </c>
      <c r="C79" s="94" t="s">
        <v>48</v>
      </c>
      <c r="D79" s="94" t="s">
        <v>5</v>
      </c>
      <c r="E79" s="94" t="str">
        <f t="shared" si="25"/>
        <v>Calssic Plan-4R HN Basic Plus 46-55</v>
      </c>
      <c r="F79" s="95">
        <v>3495</v>
      </c>
      <c r="G79" s="95">
        <v>210</v>
      </c>
      <c r="H79" s="95">
        <v>770</v>
      </c>
      <c r="I79" s="82">
        <f t="shared" si="29"/>
        <v>3285</v>
      </c>
      <c r="J79" s="93"/>
      <c r="K79" s="109" t="s">
        <v>411</v>
      </c>
      <c r="L79" s="103" t="s">
        <v>387</v>
      </c>
      <c r="M79" s="94" t="s">
        <v>48</v>
      </c>
      <c r="N79" s="94" t="s">
        <v>5</v>
      </c>
      <c r="O79" s="94" t="str">
        <f t="shared" si="26"/>
        <v>Calssic Plan-4 HN Basic Plus 46-55</v>
      </c>
      <c r="P79" s="110">
        <f t="shared" si="28"/>
        <v>3775</v>
      </c>
      <c r="Q79" s="110">
        <f t="shared" si="28"/>
        <v>227</v>
      </c>
      <c r="R79" s="110">
        <f t="shared" si="28"/>
        <v>832</v>
      </c>
      <c r="S79" s="110">
        <f t="shared" si="19"/>
        <v>3548</v>
      </c>
    </row>
    <row r="80" spans="1:19" x14ac:dyDescent="0.3">
      <c r="A80" s="109" t="s">
        <v>414</v>
      </c>
      <c r="B80" s="103" t="s">
        <v>387</v>
      </c>
      <c r="C80" s="94" t="s">
        <v>9</v>
      </c>
      <c r="D80" s="94" t="s">
        <v>5</v>
      </c>
      <c r="E80" s="94" t="str">
        <f t="shared" si="25"/>
        <v>Calssic Plan-4R HN Basic Plus 56-59</v>
      </c>
      <c r="F80" s="95">
        <v>3975</v>
      </c>
      <c r="G80" s="95">
        <v>210</v>
      </c>
      <c r="H80" s="95">
        <v>770</v>
      </c>
      <c r="I80" s="82">
        <f t="shared" si="29"/>
        <v>3765</v>
      </c>
      <c r="J80" s="93"/>
      <c r="K80" s="109" t="s">
        <v>411</v>
      </c>
      <c r="L80" s="103" t="s">
        <v>387</v>
      </c>
      <c r="M80" s="94" t="s">
        <v>9</v>
      </c>
      <c r="N80" s="94" t="s">
        <v>5</v>
      </c>
      <c r="O80" s="94" t="str">
        <f t="shared" si="26"/>
        <v>Calssic Plan-4 HN Basic Plus 56-59</v>
      </c>
      <c r="P80" s="110">
        <f t="shared" si="28"/>
        <v>4293</v>
      </c>
      <c r="Q80" s="110">
        <f t="shared" si="28"/>
        <v>227</v>
      </c>
      <c r="R80" s="110">
        <f t="shared" si="28"/>
        <v>832</v>
      </c>
      <c r="S80" s="110">
        <f t="shared" si="19"/>
        <v>4066</v>
      </c>
    </row>
    <row r="81" spans="1:19" x14ac:dyDescent="0.3">
      <c r="A81" s="109" t="s">
        <v>414</v>
      </c>
      <c r="B81" s="103" t="s">
        <v>387</v>
      </c>
      <c r="C81" s="94" t="s">
        <v>438</v>
      </c>
      <c r="D81" s="94" t="s">
        <v>5</v>
      </c>
      <c r="E81" s="94" t="str">
        <f t="shared" si="25"/>
        <v>Calssic Plan-4R HN Basic Plus 60 - 65</v>
      </c>
      <c r="F81" s="95">
        <v>5126</v>
      </c>
      <c r="G81" s="95">
        <v>210</v>
      </c>
      <c r="H81" s="95">
        <v>770</v>
      </c>
      <c r="I81" s="82">
        <f t="shared" si="29"/>
        <v>4916</v>
      </c>
      <c r="J81" s="93"/>
      <c r="K81" s="109" t="s">
        <v>411</v>
      </c>
      <c r="L81" s="103" t="s">
        <v>387</v>
      </c>
      <c r="M81" s="94" t="s">
        <v>438</v>
      </c>
      <c r="N81" s="94" t="s">
        <v>5</v>
      </c>
      <c r="O81" s="94" t="str">
        <f t="shared" si="26"/>
        <v>Calssic Plan-4 HN Basic Plus 60 - 65</v>
      </c>
      <c r="P81" s="110">
        <f t="shared" si="28"/>
        <v>5536</v>
      </c>
      <c r="Q81" s="110">
        <f t="shared" si="28"/>
        <v>227</v>
      </c>
      <c r="R81" s="110">
        <f t="shared" si="28"/>
        <v>832</v>
      </c>
      <c r="S81" s="110">
        <f t="shared" si="19"/>
        <v>5309</v>
      </c>
    </row>
    <row r="82" spans="1:19" x14ac:dyDescent="0.3">
      <c r="A82" s="109" t="s">
        <v>414</v>
      </c>
      <c r="B82" s="103" t="s">
        <v>387</v>
      </c>
      <c r="C82" s="94" t="s">
        <v>52</v>
      </c>
      <c r="D82" s="94" t="s">
        <v>5</v>
      </c>
      <c r="E82" s="94" t="str">
        <f t="shared" si="25"/>
        <v>Calssic Plan-4R HN Basic Plus 66 and above</v>
      </c>
      <c r="F82" s="95">
        <v>6791</v>
      </c>
      <c r="G82" s="95">
        <v>210</v>
      </c>
      <c r="H82" s="95">
        <v>770</v>
      </c>
      <c r="I82" s="82">
        <f t="shared" si="29"/>
        <v>6581</v>
      </c>
      <c r="J82" s="93"/>
      <c r="K82" s="109" t="s">
        <v>411</v>
      </c>
      <c r="L82" s="103" t="s">
        <v>387</v>
      </c>
      <c r="M82" s="94" t="s">
        <v>52</v>
      </c>
      <c r="N82" s="94" t="s">
        <v>5</v>
      </c>
      <c r="O82" s="94" t="str">
        <f t="shared" si="26"/>
        <v>Calssic Plan-4 HN Basic Plus 66 and above</v>
      </c>
      <c r="P82" s="110">
        <f t="shared" si="28"/>
        <v>7334</v>
      </c>
      <c r="Q82" s="110">
        <f t="shared" si="28"/>
        <v>227</v>
      </c>
      <c r="R82" s="110">
        <f t="shared" si="28"/>
        <v>832</v>
      </c>
      <c r="S82" s="110">
        <f t="shared" si="19"/>
        <v>7107</v>
      </c>
    </row>
    <row r="83" spans="1:19" x14ac:dyDescent="0.3">
      <c r="A83" s="109" t="s">
        <v>414</v>
      </c>
      <c r="B83" s="103" t="s">
        <v>387</v>
      </c>
      <c r="C83" s="94" t="s">
        <v>45</v>
      </c>
      <c r="D83" s="94" t="s">
        <v>7</v>
      </c>
      <c r="E83" s="94" t="str">
        <f t="shared" si="25"/>
        <v>Calssic Plan-4R HN Basic Plus 00-17</v>
      </c>
      <c r="F83" s="95">
        <v>1698</v>
      </c>
      <c r="G83" s="95">
        <v>210</v>
      </c>
      <c r="H83" s="95">
        <v>770</v>
      </c>
      <c r="I83" s="82">
        <f>F83</f>
        <v>1698</v>
      </c>
      <c r="J83" s="93"/>
      <c r="K83" s="109" t="s">
        <v>411</v>
      </c>
      <c r="L83" s="103" t="s">
        <v>387</v>
      </c>
      <c r="M83" s="94" t="s">
        <v>45</v>
      </c>
      <c r="N83" s="94" t="s">
        <v>7</v>
      </c>
      <c r="O83" s="94" t="str">
        <f t="shared" si="26"/>
        <v>Calssic Plan-4 HN Basic Plus 00-17</v>
      </c>
      <c r="P83" s="110">
        <f t="shared" si="28"/>
        <v>1834</v>
      </c>
      <c r="Q83" s="110">
        <f t="shared" si="28"/>
        <v>227</v>
      </c>
      <c r="R83" s="110">
        <f t="shared" si="28"/>
        <v>832</v>
      </c>
      <c r="S83" s="110">
        <f t="shared" si="19"/>
        <v>1607</v>
      </c>
    </row>
    <row r="84" spans="1:19" x14ac:dyDescent="0.3">
      <c r="A84" s="109" t="s">
        <v>414</v>
      </c>
      <c r="B84" s="103" t="s">
        <v>387</v>
      </c>
      <c r="C84" s="94" t="s">
        <v>46</v>
      </c>
      <c r="D84" s="94" t="s">
        <v>7</v>
      </c>
      <c r="E84" s="94" t="str">
        <f t="shared" si="25"/>
        <v>Calssic Plan-4R HN Basic Plus 18-35</v>
      </c>
      <c r="F84" s="95">
        <v>2912</v>
      </c>
      <c r="G84" s="95">
        <v>210</v>
      </c>
      <c r="H84" s="95">
        <v>770</v>
      </c>
      <c r="I84" s="82">
        <f>F84-H84</f>
        <v>2142</v>
      </c>
      <c r="J84" s="93"/>
      <c r="K84" s="109" t="s">
        <v>411</v>
      </c>
      <c r="L84" s="103" t="s">
        <v>387</v>
      </c>
      <c r="M84" s="94" t="s">
        <v>46</v>
      </c>
      <c r="N84" s="94" t="s">
        <v>7</v>
      </c>
      <c r="O84" s="94" t="str">
        <f t="shared" si="26"/>
        <v>Calssic Plan-4 HN Basic Plus 18-35</v>
      </c>
      <c r="P84" s="110">
        <f t="shared" si="28"/>
        <v>3145</v>
      </c>
      <c r="Q84" s="110">
        <f t="shared" si="28"/>
        <v>227</v>
      </c>
      <c r="R84" s="110">
        <f t="shared" si="28"/>
        <v>832</v>
      </c>
      <c r="S84" s="110">
        <f t="shared" si="19"/>
        <v>2918</v>
      </c>
    </row>
    <row r="85" spans="1:19" x14ac:dyDescent="0.3">
      <c r="A85" s="109" t="s">
        <v>414</v>
      </c>
      <c r="B85" s="103" t="s">
        <v>387</v>
      </c>
      <c r="C85" s="94" t="s">
        <v>47</v>
      </c>
      <c r="D85" s="94" t="s">
        <v>7</v>
      </c>
      <c r="E85" s="94" t="str">
        <f t="shared" si="25"/>
        <v>Calssic Plan-4R HN Basic Plus 36-45</v>
      </c>
      <c r="F85" s="95">
        <v>3428</v>
      </c>
      <c r="G85" s="95">
        <v>210</v>
      </c>
      <c r="H85" s="95">
        <v>770</v>
      </c>
      <c r="I85" s="82">
        <f>F85-H85</f>
        <v>2658</v>
      </c>
      <c r="J85" s="93"/>
      <c r="K85" s="109" t="s">
        <v>411</v>
      </c>
      <c r="L85" s="103" t="s">
        <v>387</v>
      </c>
      <c r="M85" s="94" t="s">
        <v>47</v>
      </c>
      <c r="N85" s="94" t="s">
        <v>7</v>
      </c>
      <c r="O85" s="94" t="str">
        <f t="shared" si="26"/>
        <v>Calssic Plan-4 HN Basic Plus 36-45</v>
      </c>
      <c r="P85" s="110">
        <f t="shared" si="28"/>
        <v>3702</v>
      </c>
      <c r="Q85" s="110">
        <f t="shared" si="28"/>
        <v>227</v>
      </c>
      <c r="R85" s="110">
        <f t="shared" si="28"/>
        <v>832</v>
      </c>
      <c r="S85" s="110">
        <f t="shared" si="19"/>
        <v>3475</v>
      </c>
    </row>
    <row r="86" spans="1:19" x14ac:dyDescent="0.3">
      <c r="A86" s="109" t="s">
        <v>414</v>
      </c>
      <c r="B86" s="103" t="s">
        <v>387</v>
      </c>
      <c r="C86" s="94" t="s">
        <v>48</v>
      </c>
      <c r="D86" s="94" t="s">
        <v>7</v>
      </c>
      <c r="E86" s="94" t="str">
        <f t="shared" si="25"/>
        <v>Calssic Plan-4R HN Basic Plus 46-55</v>
      </c>
      <c r="F86" s="95">
        <v>3932</v>
      </c>
      <c r="G86" s="95">
        <v>210</v>
      </c>
      <c r="H86" s="95">
        <v>770</v>
      </c>
      <c r="I86" s="82">
        <f>F86</f>
        <v>3932</v>
      </c>
      <c r="J86" s="93"/>
      <c r="K86" s="109" t="s">
        <v>411</v>
      </c>
      <c r="L86" s="103" t="s">
        <v>387</v>
      </c>
      <c r="M86" s="94" t="s">
        <v>48</v>
      </c>
      <c r="N86" s="94" t="s">
        <v>7</v>
      </c>
      <c r="O86" s="94" t="str">
        <f t="shared" si="26"/>
        <v>Calssic Plan-4 HN Basic Plus 46-55</v>
      </c>
      <c r="P86" s="110">
        <f t="shared" si="28"/>
        <v>4247</v>
      </c>
      <c r="Q86" s="110">
        <f t="shared" si="28"/>
        <v>227</v>
      </c>
      <c r="R86" s="110">
        <f t="shared" si="28"/>
        <v>832</v>
      </c>
      <c r="S86" s="110">
        <f t="shared" si="19"/>
        <v>4020</v>
      </c>
    </row>
    <row r="87" spans="1:19" x14ac:dyDescent="0.3">
      <c r="A87" s="109" t="s">
        <v>414</v>
      </c>
      <c r="B87" s="103" t="s">
        <v>387</v>
      </c>
      <c r="C87" s="94" t="s">
        <v>9</v>
      </c>
      <c r="D87" s="94" t="s">
        <v>7</v>
      </c>
      <c r="E87" s="94" t="str">
        <f t="shared" si="25"/>
        <v>Calssic Plan-4R HN Basic Plus 56-59</v>
      </c>
      <c r="F87" s="95">
        <v>4366</v>
      </c>
      <c r="G87" s="95">
        <v>210</v>
      </c>
      <c r="H87" s="95">
        <v>770</v>
      </c>
      <c r="I87" s="82">
        <f t="shared" ref="I87:I89" si="30">F87</f>
        <v>4366</v>
      </c>
      <c r="J87" s="93"/>
      <c r="K87" s="109" t="s">
        <v>411</v>
      </c>
      <c r="L87" s="103" t="s">
        <v>387</v>
      </c>
      <c r="M87" s="94" t="s">
        <v>9</v>
      </c>
      <c r="N87" s="94" t="s">
        <v>7</v>
      </c>
      <c r="O87" s="94" t="str">
        <f t="shared" si="26"/>
        <v>Calssic Plan-4 HN Basic Plus 56-59</v>
      </c>
      <c r="P87" s="110">
        <f t="shared" si="28"/>
        <v>4715</v>
      </c>
      <c r="Q87" s="110">
        <f t="shared" si="28"/>
        <v>227</v>
      </c>
      <c r="R87" s="110">
        <f t="shared" si="28"/>
        <v>832</v>
      </c>
      <c r="S87" s="110">
        <f t="shared" si="19"/>
        <v>4488</v>
      </c>
    </row>
    <row r="88" spans="1:19" x14ac:dyDescent="0.3">
      <c r="A88" s="109" t="s">
        <v>414</v>
      </c>
      <c r="B88" s="103" t="s">
        <v>387</v>
      </c>
      <c r="C88" s="94" t="s">
        <v>438</v>
      </c>
      <c r="D88" s="94" t="s">
        <v>7</v>
      </c>
      <c r="E88" s="94" t="str">
        <f t="shared" si="25"/>
        <v>Calssic Plan-4R HN Basic Plus 60 - 65</v>
      </c>
      <c r="F88" s="95">
        <v>5126</v>
      </c>
      <c r="G88" s="95">
        <v>210</v>
      </c>
      <c r="H88" s="95">
        <v>770</v>
      </c>
      <c r="I88" s="82">
        <f t="shared" si="30"/>
        <v>5126</v>
      </c>
      <c r="J88" s="93"/>
      <c r="K88" s="109" t="s">
        <v>411</v>
      </c>
      <c r="L88" s="103" t="s">
        <v>387</v>
      </c>
      <c r="M88" s="94" t="s">
        <v>438</v>
      </c>
      <c r="N88" s="94" t="s">
        <v>7</v>
      </c>
      <c r="O88" s="94" t="str">
        <f t="shared" si="26"/>
        <v>Calssic Plan-4 HN Basic Plus 60 - 65</v>
      </c>
      <c r="P88" s="110">
        <f t="shared" si="28"/>
        <v>5536</v>
      </c>
      <c r="Q88" s="110">
        <f t="shared" si="28"/>
        <v>227</v>
      </c>
      <c r="R88" s="110">
        <f t="shared" si="28"/>
        <v>832</v>
      </c>
      <c r="S88" s="110">
        <f t="shared" si="19"/>
        <v>5309</v>
      </c>
    </row>
    <row r="89" spans="1:19" x14ac:dyDescent="0.3">
      <c r="A89" s="109" t="s">
        <v>414</v>
      </c>
      <c r="B89" s="103" t="s">
        <v>387</v>
      </c>
      <c r="C89" s="94" t="s">
        <v>52</v>
      </c>
      <c r="D89" s="94" t="s">
        <v>7</v>
      </c>
      <c r="E89" s="94" t="str">
        <f t="shared" si="25"/>
        <v>Calssic Plan-4R HN Basic Plus 66 and above</v>
      </c>
      <c r="F89" s="95">
        <v>6791</v>
      </c>
      <c r="G89" s="95">
        <v>210</v>
      </c>
      <c r="H89" s="95">
        <v>770</v>
      </c>
      <c r="I89" s="82">
        <f t="shared" si="30"/>
        <v>6791</v>
      </c>
      <c r="J89" s="93"/>
      <c r="K89" s="109" t="s">
        <v>411</v>
      </c>
      <c r="L89" s="103" t="s">
        <v>387</v>
      </c>
      <c r="M89" s="94" t="s">
        <v>52</v>
      </c>
      <c r="N89" s="94" t="s">
        <v>7</v>
      </c>
      <c r="O89" s="94" t="str">
        <f t="shared" si="26"/>
        <v>Calssic Plan-4 HN Basic Plus 66 and above</v>
      </c>
      <c r="P89" s="110">
        <f t="shared" si="28"/>
        <v>7334</v>
      </c>
      <c r="Q89" s="110">
        <f t="shared" si="28"/>
        <v>227</v>
      </c>
      <c r="R89" s="110">
        <f t="shared" si="28"/>
        <v>832</v>
      </c>
      <c r="S89" s="110">
        <f t="shared" si="19"/>
        <v>7107</v>
      </c>
    </row>
    <row r="90" spans="1:19" x14ac:dyDescent="0.3">
      <c r="B90" s="17"/>
      <c r="C90" s="17"/>
      <c r="D90" s="17"/>
      <c r="E90" s="17"/>
      <c r="F90" s="17"/>
      <c r="G90" s="17"/>
      <c r="H90" s="17"/>
      <c r="I90" s="17"/>
      <c r="J90" s="17"/>
      <c r="K90" s="17"/>
      <c r="L90" s="17"/>
      <c r="M90" s="17"/>
      <c r="N90" s="17"/>
      <c r="O90" s="17"/>
      <c r="P90" s="17"/>
      <c r="Q90" s="17"/>
      <c r="R90" s="17"/>
      <c r="S90" s="17"/>
    </row>
    <row r="91" spans="1:19" x14ac:dyDescent="0.3">
      <c r="B91" s="17"/>
      <c r="C91" s="17"/>
      <c r="D91" s="17"/>
      <c r="E91" s="17"/>
      <c r="F91" s="17"/>
      <c r="G91" s="17"/>
      <c r="H91" s="17"/>
      <c r="I91" s="17"/>
      <c r="J91" s="17"/>
      <c r="K91" s="17"/>
      <c r="L91" s="17"/>
      <c r="M91" s="17"/>
      <c r="N91" s="17"/>
      <c r="O91" s="17"/>
      <c r="P91" s="17"/>
      <c r="Q91" s="17"/>
      <c r="R91" s="17"/>
      <c r="S91" s="17"/>
    </row>
    <row r="92" spans="1:19" x14ac:dyDescent="0.3">
      <c r="B92" s="17"/>
      <c r="C92" s="17"/>
      <c r="D92" s="17"/>
      <c r="E92" s="17"/>
      <c r="F92" s="17"/>
      <c r="G92" s="17"/>
      <c r="H92" s="17"/>
      <c r="I92" s="17"/>
      <c r="J92" s="17"/>
      <c r="K92" s="17"/>
      <c r="L92" s="17"/>
      <c r="M92" s="17"/>
      <c r="N92" s="17"/>
      <c r="O92" s="17"/>
      <c r="P92" s="17"/>
      <c r="Q92" s="17"/>
      <c r="R92" s="17"/>
      <c r="S92" s="17"/>
    </row>
    <row r="93" spans="1:19" x14ac:dyDescent="0.3">
      <c r="B93" s="18" t="s">
        <v>0</v>
      </c>
      <c r="C93" s="18" t="s">
        <v>23</v>
      </c>
      <c r="D93" s="18"/>
      <c r="E93" s="18"/>
      <c r="F93" s="18" t="s">
        <v>173</v>
      </c>
      <c r="G93" s="112"/>
      <c r="H93" s="112"/>
      <c r="I93" s="112"/>
      <c r="J93" s="112"/>
      <c r="K93" s="112"/>
      <c r="L93" s="112"/>
      <c r="M93" s="112"/>
      <c r="N93" s="112"/>
      <c r="O93" s="112"/>
      <c r="P93" s="112"/>
      <c r="Q93" s="112"/>
      <c r="R93" s="112"/>
      <c r="S93" s="112"/>
    </row>
    <row r="94" spans="1:19" x14ac:dyDescent="0.3">
      <c r="B94" s="193" t="s">
        <v>382</v>
      </c>
      <c r="C94" s="94" t="s">
        <v>156</v>
      </c>
      <c r="D94" s="94"/>
      <c r="E94" s="94"/>
      <c r="F94" s="82">
        <v>4966</v>
      </c>
      <c r="G94" s="93"/>
      <c r="H94" s="93"/>
      <c r="I94" s="93"/>
      <c r="J94" s="93"/>
      <c r="K94" s="93"/>
      <c r="L94" s="93"/>
      <c r="M94" s="93"/>
      <c r="N94" s="93"/>
      <c r="O94" s="93"/>
      <c r="P94" s="93"/>
      <c r="Q94" s="93"/>
      <c r="R94" s="93"/>
      <c r="S94" s="93"/>
    </row>
    <row r="95" spans="1:19" x14ac:dyDescent="0.3">
      <c r="B95" s="193"/>
      <c r="C95" s="94" t="s">
        <v>157</v>
      </c>
      <c r="D95" s="94"/>
      <c r="E95" s="94"/>
      <c r="F95" s="82">
        <v>5898</v>
      </c>
      <c r="G95" s="93"/>
      <c r="H95" s="93"/>
      <c r="I95" s="93"/>
      <c r="J95" s="93"/>
      <c r="K95" s="93"/>
      <c r="L95" s="93"/>
      <c r="M95" s="93"/>
      <c r="N95" s="93"/>
      <c r="O95" s="93"/>
      <c r="P95" s="93"/>
      <c r="Q95" s="93"/>
      <c r="R95" s="93"/>
      <c r="S95" s="93"/>
    </row>
    <row r="96" spans="1:19" x14ac:dyDescent="0.3">
      <c r="B96" s="193"/>
      <c r="C96" s="94" t="s">
        <v>158</v>
      </c>
      <c r="D96" s="94"/>
      <c r="E96" s="94"/>
      <c r="F96" s="82">
        <v>9998</v>
      </c>
      <c r="G96" s="93"/>
      <c r="H96" s="93"/>
      <c r="I96" s="93"/>
      <c r="J96" s="93"/>
      <c r="K96" s="93"/>
      <c r="L96" s="93"/>
      <c r="M96" s="93"/>
      <c r="N96" s="93"/>
      <c r="O96" s="93"/>
      <c r="P96" s="93"/>
      <c r="Q96" s="93"/>
      <c r="R96" s="93"/>
      <c r="S96" s="93"/>
    </row>
    <row r="97" spans="2:19" x14ac:dyDescent="0.3">
      <c r="B97" s="193"/>
      <c r="C97" s="94" t="s">
        <v>159</v>
      </c>
      <c r="D97" s="94"/>
      <c r="E97" s="94"/>
      <c r="F97" s="82">
        <v>20060</v>
      </c>
      <c r="G97" s="93"/>
      <c r="H97" s="93"/>
      <c r="I97" s="93"/>
      <c r="J97" s="93"/>
      <c r="K97" s="93"/>
      <c r="L97" s="93"/>
      <c r="M97" s="93"/>
      <c r="N97" s="93"/>
      <c r="O97" s="93"/>
      <c r="P97" s="93"/>
      <c r="Q97" s="93"/>
      <c r="R97" s="93"/>
      <c r="S97" s="93"/>
    </row>
    <row r="98" spans="2:19" x14ac:dyDescent="0.3">
      <c r="B98" s="193"/>
      <c r="C98" s="94" t="s">
        <v>160</v>
      </c>
      <c r="D98" s="94"/>
      <c r="E98" s="94"/>
      <c r="F98" s="82">
        <v>26078</v>
      </c>
      <c r="G98" s="93"/>
      <c r="H98" s="93"/>
      <c r="I98" s="93"/>
      <c r="J98" s="93"/>
      <c r="K98" s="93"/>
      <c r="L98" s="93"/>
      <c r="M98" s="93"/>
      <c r="N98" s="93"/>
      <c r="O98" s="93"/>
      <c r="P98" s="93"/>
      <c r="Q98" s="93"/>
      <c r="R98" s="93"/>
      <c r="S98" s="93"/>
    </row>
    <row r="99" spans="2:19" x14ac:dyDescent="0.3">
      <c r="B99" s="193"/>
      <c r="C99" s="94" t="s">
        <v>441</v>
      </c>
      <c r="D99" s="94"/>
      <c r="E99" s="94"/>
      <c r="F99" s="82">
        <v>33902</v>
      </c>
      <c r="G99" s="93"/>
      <c r="H99" s="93"/>
      <c r="I99" s="93"/>
      <c r="J99" s="93"/>
      <c r="K99" s="93"/>
      <c r="L99" s="93"/>
      <c r="M99" s="93"/>
      <c r="N99" s="93"/>
      <c r="O99" s="93"/>
      <c r="P99" s="93"/>
      <c r="Q99" s="93"/>
      <c r="R99" s="93"/>
      <c r="S99" s="93"/>
    </row>
    <row r="100" spans="2:19" x14ac:dyDescent="0.3">
      <c r="B100" s="193"/>
      <c r="C100" s="94" t="s">
        <v>156</v>
      </c>
      <c r="D100" s="94"/>
      <c r="E100" s="94"/>
      <c r="F100" s="82">
        <v>4966</v>
      </c>
      <c r="G100" s="93"/>
      <c r="H100" s="93"/>
      <c r="I100" s="93"/>
      <c r="J100" s="93"/>
      <c r="K100" s="93"/>
      <c r="L100" s="93"/>
      <c r="M100" s="93"/>
      <c r="N100" s="93"/>
      <c r="O100" s="93"/>
      <c r="P100" s="93"/>
      <c r="Q100" s="93"/>
      <c r="R100" s="93"/>
      <c r="S100" s="93"/>
    </row>
    <row r="101" spans="2:19" x14ac:dyDescent="0.3">
      <c r="B101" s="193"/>
      <c r="C101" s="94" t="s">
        <v>157</v>
      </c>
      <c r="D101" s="94"/>
      <c r="E101" s="94"/>
      <c r="F101" s="82">
        <v>5898</v>
      </c>
      <c r="G101" s="93"/>
      <c r="H101" s="93"/>
      <c r="I101" s="93"/>
      <c r="J101" s="93"/>
      <c r="K101" s="93"/>
      <c r="L101" s="93"/>
      <c r="M101" s="93"/>
      <c r="N101" s="93"/>
      <c r="O101" s="93"/>
      <c r="P101" s="93"/>
      <c r="Q101" s="93"/>
      <c r="R101" s="93"/>
      <c r="S101" s="93"/>
    </row>
    <row r="102" spans="2:19" x14ac:dyDescent="0.3">
      <c r="B102" s="193"/>
      <c r="C102" s="94" t="s">
        <v>158</v>
      </c>
      <c r="D102" s="94"/>
      <c r="E102" s="94"/>
      <c r="F102" s="82">
        <v>9998</v>
      </c>
      <c r="G102" s="93"/>
      <c r="H102" s="93"/>
      <c r="I102" s="93"/>
      <c r="J102" s="93"/>
      <c r="K102" s="93"/>
      <c r="L102" s="93"/>
      <c r="M102" s="93"/>
      <c r="N102" s="93"/>
      <c r="O102" s="93"/>
      <c r="P102" s="93"/>
      <c r="Q102" s="93"/>
      <c r="R102" s="93"/>
      <c r="S102" s="93"/>
    </row>
    <row r="103" spans="2:19" x14ac:dyDescent="0.3">
      <c r="B103" s="193"/>
      <c r="C103" s="94" t="s">
        <v>159</v>
      </c>
      <c r="D103" s="94"/>
      <c r="E103" s="94"/>
      <c r="F103" s="82">
        <v>20060</v>
      </c>
      <c r="G103" s="93"/>
      <c r="H103" s="93"/>
      <c r="I103" s="93"/>
      <c r="J103" s="93"/>
      <c r="K103" s="93"/>
      <c r="L103" s="93"/>
      <c r="M103" s="93"/>
      <c r="N103" s="93"/>
      <c r="O103" s="93"/>
      <c r="P103" s="93"/>
      <c r="Q103" s="93"/>
      <c r="R103" s="93"/>
      <c r="S103" s="93"/>
    </row>
    <row r="104" spans="2:19" x14ac:dyDescent="0.3">
      <c r="B104" s="193"/>
      <c r="C104" s="94" t="s">
        <v>160</v>
      </c>
      <c r="D104" s="94"/>
      <c r="E104" s="94"/>
      <c r="F104" s="82">
        <v>26078</v>
      </c>
      <c r="G104" s="93"/>
      <c r="H104" s="93"/>
      <c r="I104" s="93"/>
      <c r="J104" s="93"/>
      <c r="K104" s="93"/>
      <c r="L104" s="93"/>
      <c r="M104" s="93"/>
      <c r="N104" s="93"/>
      <c r="O104" s="93"/>
      <c r="P104" s="93"/>
      <c r="Q104" s="93"/>
      <c r="R104" s="93"/>
      <c r="S104" s="93"/>
    </row>
    <row r="105" spans="2:19" x14ac:dyDescent="0.3">
      <c r="B105" s="193"/>
      <c r="C105" s="94" t="s">
        <v>441</v>
      </c>
      <c r="D105" s="94"/>
      <c r="E105" s="94"/>
      <c r="F105" s="82">
        <v>33902</v>
      </c>
      <c r="G105" s="93"/>
      <c r="H105" s="93"/>
      <c r="I105" s="93"/>
      <c r="J105" s="93"/>
      <c r="K105" s="93"/>
      <c r="L105" s="93"/>
      <c r="M105" s="93"/>
      <c r="N105" s="93"/>
      <c r="O105" s="93"/>
      <c r="P105" s="93"/>
      <c r="Q105" s="93"/>
      <c r="R105" s="93"/>
      <c r="S105" s="93"/>
    </row>
    <row r="106" spans="2:19" x14ac:dyDescent="0.3">
      <c r="B106" s="193" t="s">
        <v>383</v>
      </c>
      <c r="C106" s="94" t="s">
        <v>156</v>
      </c>
      <c r="D106" s="94"/>
      <c r="E106" s="94"/>
      <c r="F106" s="95">
        <v>4138</v>
      </c>
      <c r="G106" s="20"/>
      <c r="H106" s="20"/>
      <c r="I106" s="20"/>
      <c r="J106" s="20"/>
      <c r="K106" s="20"/>
      <c r="L106" s="20"/>
      <c r="M106" s="20"/>
      <c r="N106" s="20"/>
      <c r="O106" s="20"/>
      <c r="P106" s="20"/>
      <c r="Q106" s="20"/>
      <c r="R106" s="20"/>
      <c r="S106" s="20"/>
    </row>
    <row r="107" spans="2:19" x14ac:dyDescent="0.3">
      <c r="B107" s="193"/>
      <c r="C107" s="94" t="s">
        <v>157</v>
      </c>
      <c r="D107" s="94"/>
      <c r="E107" s="94"/>
      <c r="F107" s="95">
        <v>4915</v>
      </c>
      <c r="G107" s="20"/>
      <c r="H107" s="20"/>
      <c r="I107" s="20"/>
      <c r="J107" s="20"/>
      <c r="K107" s="20"/>
      <c r="L107" s="20"/>
      <c r="M107" s="20"/>
      <c r="N107" s="20"/>
      <c r="O107" s="20"/>
      <c r="P107" s="20"/>
      <c r="Q107" s="20"/>
      <c r="R107" s="20"/>
      <c r="S107" s="20"/>
    </row>
    <row r="108" spans="2:19" x14ac:dyDescent="0.3">
      <c r="B108" s="193"/>
      <c r="C108" s="94" t="s">
        <v>158</v>
      </c>
      <c r="D108" s="94"/>
      <c r="E108" s="94"/>
      <c r="F108" s="95">
        <v>8332</v>
      </c>
      <c r="G108" s="20"/>
      <c r="H108" s="20"/>
      <c r="I108" s="20"/>
      <c r="J108" s="20"/>
      <c r="K108" s="20"/>
      <c r="L108" s="20"/>
      <c r="M108" s="20"/>
      <c r="N108" s="20"/>
      <c r="O108" s="20"/>
      <c r="P108" s="20"/>
      <c r="Q108" s="20"/>
      <c r="R108" s="20"/>
      <c r="S108" s="20"/>
    </row>
    <row r="109" spans="2:19" x14ac:dyDescent="0.3">
      <c r="B109" s="193"/>
      <c r="C109" s="94" t="s">
        <v>159</v>
      </c>
      <c r="D109" s="94"/>
      <c r="E109" s="94"/>
      <c r="F109" s="95">
        <v>16717</v>
      </c>
      <c r="G109" s="20"/>
      <c r="H109" s="20"/>
      <c r="I109" s="20"/>
      <c r="J109" s="20"/>
      <c r="K109" s="20"/>
      <c r="L109" s="20"/>
      <c r="M109" s="20"/>
      <c r="N109" s="20"/>
      <c r="O109" s="20"/>
      <c r="P109" s="20"/>
      <c r="Q109" s="20"/>
      <c r="R109" s="20"/>
      <c r="S109" s="20"/>
    </row>
    <row r="110" spans="2:19" x14ac:dyDescent="0.3">
      <c r="B110" s="193"/>
      <c r="C110" s="94" t="s">
        <v>160</v>
      </c>
      <c r="D110" s="94"/>
      <c r="E110" s="94"/>
      <c r="F110" s="95">
        <v>21732</v>
      </c>
      <c r="G110" s="20"/>
      <c r="H110" s="20"/>
      <c r="I110" s="20"/>
      <c r="J110" s="20"/>
      <c r="K110" s="20"/>
      <c r="L110" s="20"/>
      <c r="M110" s="20"/>
      <c r="N110" s="20"/>
      <c r="O110" s="20"/>
      <c r="P110" s="20"/>
      <c r="Q110" s="20"/>
      <c r="R110" s="20"/>
      <c r="S110" s="20"/>
    </row>
    <row r="111" spans="2:19" x14ac:dyDescent="0.3">
      <c r="B111" s="193"/>
      <c r="C111" s="94" t="s">
        <v>441</v>
      </c>
      <c r="D111" s="94"/>
      <c r="E111" s="94"/>
      <c r="F111" s="95">
        <v>28252</v>
      </c>
      <c r="G111" s="20"/>
      <c r="H111" s="20"/>
      <c r="I111" s="20"/>
      <c r="J111" s="20"/>
      <c r="K111" s="20"/>
      <c r="L111" s="20"/>
      <c r="M111" s="20"/>
      <c r="N111" s="20"/>
      <c r="O111" s="20"/>
      <c r="P111" s="20"/>
      <c r="Q111" s="20"/>
      <c r="R111" s="20"/>
      <c r="S111" s="20"/>
    </row>
    <row r="112" spans="2:19" x14ac:dyDescent="0.3">
      <c r="B112" s="193"/>
      <c r="C112" s="94" t="s">
        <v>156</v>
      </c>
      <c r="D112" s="94"/>
      <c r="E112" s="94"/>
      <c r="F112" s="95">
        <v>4138</v>
      </c>
      <c r="G112" s="20"/>
      <c r="H112" s="20"/>
      <c r="I112" s="20"/>
      <c r="J112" s="20"/>
      <c r="K112" s="20"/>
      <c r="L112" s="20"/>
      <c r="M112" s="20"/>
      <c r="N112" s="20"/>
      <c r="O112" s="20"/>
      <c r="P112" s="20"/>
      <c r="Q112" s="20"/>
      <c r="R112" s="20"/>
      <c r="S112" s="20"/>
    </row>
    <row r="113" spans="2:19" x14ac:dyDescent="0.3">
      <c r="B113" s="193"/>
      <c r="C113" s="94" t="s">
        <v>157</v>
      </c>
      <c r="D113" s="94"/>
      <c r="E113" s="94"/>
      <c r="F113" s="95">
        <v>4915</v>
      </c>
      <c r="G113" s="20"/>
      <c r="H113" s="20"/>
      <c r="I113" s="20"/>
      <c r="J113" s="20"/>
      <c r="K113" s="20"/>
      <c r="L113" s="20"/>
      <c r="M113" s="20"/>
      <c r="N113" s="20"/>
      <c r="O113" s="20"/>
      <c r="P113" s="20"/>
      <c r="Q113" s="20"/>
      <c r="R113" s="20"/>
      <c r="S113" s="20"/>
    </row>
    <row r="114" spans="2:19" x14ac:dyDescent="0.3">
      <c r="B114" s="193"/>
      <c r="C114" s="94" t="s">
        <v>158</v>
      </c>
      <c r="D114" s="94"/>
      <c r="E114" s="94"/>
      <c r="F114" s="95">
        <v>8332</v>
      </c>
      <c r="G114" s="20"/>
      <c r="H114" s="20"/>
      <c r="I114" s="20"/>
      <c r="J114" s="20"/>
      <c r="K114" s="20"/>
      <c r="L114" s="20"/>
      <c r="M114" s="20"/>
      <c r="N114" s="20"/>
      <c r="O114" s="20"/>
      <c r="P114" s="20"/>
      <c r="Q114" s="20"/>
      <c r="R114" s="20"/>
      <c r="S114" s="20"/>
    </row>
    <row r="115" spans="2:19" x14ac:dyDescent="0.3">
      <c r="B115" s="193"/>
      <c r="C115" s="94" t="s">
        <v>159</v>
      </c>
      <c r="D115" s="94"/>
      <c r="E115" s="94"/>
      <c r="F115" s="95">
        <v>16717</v>
      </c>
      <c r="G115" s="20"/>
      <c r="H115" s="20"/>
      <c r="I115" s="20"/>
      <c r="J115" s="20"/>
      <c r="K115" s="20"/>
      <c r="L115" s="20"/>
      <c r="M115" s="20"/>
      <c r="N115" s="20"/>
      <c r="O115" s="20"/>
      <c r="P115" s="20"/>
      <c r="Q115" s="20"/>
      <c r="R115" s="20"/>
      <c r="S115" s="20"/>
    </row>
    <row r="116" spans="2:19" x14ac:dyDescent="0.3">
      <c r="B116" s="193"/>
      <c r="C116" s="94" t="s">
        <v>160</v>
      </c>
      <c r="D116" s="94"/>
      <c r="E116" s="94"/>
      <c r="F116" s="95">
        <v>21732</v>
      </c>
      <c r="G116" s="20"/>
      <c r="H116" s="20"/>
      <c r="I116" s="20"/>
      <c r="J116" s="20"/>
      <c r="K116" s="20"/>
      <c r="L116" s="20"/>
      <c r="M116" s="20"/>
      <c r="N116" s="20"/>
      <c r="O116" s="20"/>
      <c r="P116" s="20"/>
      <c r="Q116" s="20"/>
      <c r="R116" s="20"/>
      <c r="S116" s="20"/>
    </row>
    <row r="117" spans="2:19" x14ac:dyDescent="0.3">
      <c r="B117" s="193"/>
      <c r="C117" s="94" t="s">
        <v>441</v>
      </c>
      <c r="D117" s="94"/>
      <c r="E117" s="94"/>
      <c r="F117" s="95">
        <v>28252</v>
      </c>
      <c r="G117" s="20"/>
      <c r="H117" s="20"/>
      <c r="I117" s="20"/>
      <c r="J117" s="20"/>
      <c r="K117" s="20"/>
      <c r="L117" s="20"/>
      <c r="M117" s="20"/>
      <c r="N117" s="20"/>
      <c r="O117" s="20"/>
      <c r="P117" s="20"/>
      <c r="Q117" s="20"/>
      <c r="R117" s="20"/>
      <c r="S117" s="20"/>
    </row>
    <row r="118" spans="2:19" x14ac:dyDescent="0.3">
      <c r="B118" s="193" t="s">
        <v>384</v>
      </c>
      <c r="C118" s="94" t="s">
        <v>156</v>
      </c>
      <c r="D118" s="94"/>
      <c r="E118" s="94"/>
      <c r="F118" s="82">
        <v>3517</v>
      </c>
      <c r="G118" s="93"/>
      <c r="H118" s="93"/>
      <c r="I118" s="93"/>
      <c r="J118" s="93"/>
      <c r="K118" s="93"/>
      <c r="L118" s="93"/>
      <c r="M118" s="93"/>
      <c r="N118" s="93"/>
      <c r="O118" s="93"/>
      <c r="P118" s="93"/>
      <c r="Q118" s="93"/>
      <c r="R118" s="93"/>
      <c r="S118" s="93"/>
    </row>
    <row r="119" spans="2:19" x14ac:dyDescent="0.3">
      <c r="B119" s="193"/>
      <c r="C119" s="94" t="s">
        <v>157</v>
      </c>
      <c r="D119" s="94"/>
      <c r="E119" s="94"/>
      <c r="F119" s="82">
        <v>4178</v>
      </c>
      <c r="G119" s="93"/>
      <c r="H119" s="93"/>
      <c r="I119" s="93"/>
      <c r="J119" s="93"/>
      <c r="K119" s="93"/>
      <c r="L119" s="93"/>
      <c r="M119" s="93"/>
      <c r="N119" s="93"/>
      <c r="O119" s="93"/>
      <c r="P119" s="93"/>
      <c r="Q119" s="93"/>
      <c r="R119" s="93"/>
      <c r="S119" s="93"/>
    </row>
    <row r="120" spans="2:19" x14ac:dyDescent="0.3">
      <c r="B120" s="193"/>
      <c r="C120" s="94" t="s">
        <v>158</v>
      </c>
      <c r="D120" s="94"/>
      <c r="E120" s="94"/>
      <c r="F120" s="82">
        <v>7082</v>
      </c>
      <c r="G120" s="93"/>
      <c r="H120" s="93"/>
      <c r="I120" s="93"/>
      <c r="J120" s="93"/>
      <c r="K120" s="93"/>
      <c r="L120" s="93"/>
      <c r="M120" s="93"/>
      <c r="N120" s="93"/>
      <c r="O120" s="93"/>
      <c r="P120" s="93"/>
      <c r="Q120" s="93"/>
      <c r="R120" s="93"/>
      <c r="S120" s="93"/>
    </row>
    <row r="121" spans="2:19" x14ac:dyDescent="0.3">
      <c r="B121" s="193"/>
      <c r="C121" s="94" t="s">
        <v>159</v>
      </c>
      <c r="D121" s="94"/>
      <c r="E121" s="94"/>
      <c r="F121" s="82">
        <v>14209</v>
      </c>
      <c r="G121" s="93"/>
      <c r="H121" s="93"/>
      <c r="I121" s="93"/>
      <c r="J121" s="93"/>
      <c r="K121" s="93"/>
      <c r="L121" s="93"/>
      <c r="M121" s="93"/>
      <c r="N121" s="93"/>
      <c r="O121" s="93"/>
      <c r="P121" s="93"/>
      <c r="Q121" s="93"/>
      <c r="R121" s="93"/>
      <c r="S121" s="93"/>
    </row>
    <row r="122" spans="2:19" x14ac:dyDescent="0.3">
      <c r="B122" s="193"/>
      <c r="C122" s="94" t="s">
        <v>160</v>
      </c>
      <c r="D122" s="94"/>
      <c r="E122" s="94"/>
      <c r="F122" s="82">
        <v>18472</v>
      </c>
      <c r="G122" s="93"/>
      <c r="H122" s="93"/>
      <c r="I122" s="93"/>
      <c r="J122" s="93"/>
      <c r="K122" s="93"/>
      <c r="L122" s="93"/>
      <c r="M122" s="93"/>
      <c r="N122" s="93"/>
      <c r="O122" s="93"/>
      <c r="P122" s="93"/>
      <c r="Q122" s="93"/>
      <c r="R122" s="93"/>
      <c r="S122" s="93"/>
    </row>
    <row r="123" spans="2:19" x14ac:dyDescent="0.3">
      <c r="B123" s="193"/>
      <c r="C123" s="94" t="s">
        <v>441</v>
      </c>
      <c r="D123" s="94"/>
      <c r="E123" s="94"/>
      <c r="F123" s="82">
        <v>24014</v>
      </c>
      <c r="G123" s="93"/>
      <c r="H123" s="93"/>
      <c r="I123" s="93"/>
      <c r="J123" s="93"/>
      <c r="K123" s="93"/>
      <c r="L123" s="93"/>
      <c r="M123" s="93"/>
      <c r="N123" s="93"/>
      <c r="O123" s="93"/>
      <c r="P123" s="93"/>
      <c r="Q123" s="93"/>
      <c r="R123" s="93"/>
      <c r="S123" s="93"/>
    </row>
    <row r="124" spans="2:19" x14ac:dyDescent="0.3">
      <c r="B124" s="193"/>
      <c r="C124" s="94" t="s">
        <v>156</v>
      </c>
      <c r="D124" s="94"/>
      <c r="E124" s="94"/>
      <c r="F124" s="82">
        <v>3517</v>
      </c>
      <c r="G124" s="93"/>
      <c r="H124" s="93"/>
      <c r="I124" s="93"/>
      <c r="J124" s="93"/>
      <c r="K124" s="93"/>
      <c r="L124" s="93"/>
      <c r="M124" s="93"/>
      <c r="N124" s="93"/>
      <c r="O124" s="93"/>
      <c r="P124" s="93"/>
      <c r="Q124" s="93"/>
      <c r="R124" s="93"/>
      <c r="S124" s="93"/>
    </row>
    <row r="125" spans="2:19" x14ac:dyDescent="0.3">
      <c r="B125" s="193"/>
      <c r="C125" s="94" t="s">
        <v>157</v>
      </c>
      <c r="D125" s="94"/>
      <c r="E125" s="94"/>
      <c r="F125" s="82">
        <v>4178</v>
      </c>
      <c r="G125" s="93"/>
      <c r="H125" s="93"/>
      <c r="I125" s="93"/>
      <c r="J125" s="93"/>
      <c r="K125" s="93"/>
      <c r="L125" s="93"/>
      <c r="M125" s="93"/>
      <c r="N125" s="93"/>
      <c r="O125" s="93"/>
      <c r="P125" s="93"/>
      <c r="Q125" s="93"/>
      <c r="R125" s="93"/>
      <c r="S125" s="93"/>
    </row>
    <row r="126" spans="2:19" x14ac:dyDescent="0.3">
      <c r="B126" s="193"/>
      <c r="C126" s="94" t="s">
        <v>158</v>
      </c>
      <c r="D126" s="94"/>
      <c r="E126" s="94"/>
      <c r="F126" s="82">
        <v>7082</v>
      </c>
      <c r="G126" s="93"/>
      <c r="H126" s="93"/>
      <c r="I126" s="93"/>
      <c r="J126" s="93"/>
      <c r="K126" s="93"/>
      <c r="L126" s="93"/>
      <c r="M126" s="93"/>
      <c r="N126" s="93"/>
      <c r="O126" s="93"/>
      <c r="P126" s="93"/>
      <c r="Q126" s="93"/>
      <c r="R126" s="93"/>
      <c r="S126" s="93"/>
    </row>
    <row r="127" spans="2:19" x14ac:dyDescent="0.3">
      <c r="B127" s="193"/>
      <c r="C127" s="94" t="s">
        <v>159</v>
      </c>
      <c r="D127" s="94"/>
      <c r="E127" s="94"/>
      <c r="F127" s="82">
        <v>14209</v>
      </c>
      <c r="G127" s="93"/>
      <c r="H127" s="93"/>
      <c r="I127" s="93"/>
      <c r="J127" s="93"/>
      <c r="K127" s="93"/>
      <c r="L127" s="93"/>
      <c r="M127" s="93"/>
      <c r="N127" s="93"/>
      <c r="O127" s="93"/>
      <c r="P127" s="93"/>
      <c r="Q127" s="93"/>
      <c r="R127" s="93"/>
      <c r="S127" s="93"/>
    </row>
    <row r="128" spans="2:19" x14ac:dyDescent="0.3">
      <c r="B128" s="193"/>
      <c r="C128" s="94" t="s">
        <v>160</v>
      </c>
      <c r="D128" s="94"/>
      <c r="E128" s="94"/>
      <c r="F128" s="82">
        <v>18472</v>
      </c>
      <c r="G128" s="93"/>
      <c r="H128" s="93"/>
      <c r="I128" s="93"/>
      <c r="J128" s="93"/>
      <c r="K128" s="93"/>
      <c r="L128" s="93"/>
      <c r="M128" s="93"/>
      <c r="N128" s="93"/>
      <c r="O128" s="93"/>
      <c r="P128" s="93"/>
      <c r="Q128" s="93"/>
      <c r="R128" s="93"/>
      <c r="S128" s="93"/>
    </row>
    <row r="129" spans="2:19" x14ac:dyDescent="0.3">
      <c r="B129" s="193"/>
      <c r="C129" s="94" t="s">
        <v>441</v>
      </c>
      <c r="D129" s="94"/>
      <c r="E129" s="94"/>
      <c r="F129" s="82">
        <v>24014</v>
      </c>
      <c r="G129" s="93"/>
      <c r="H129" s="93"/>
      <c r="I129" s="93"/>
      <c r="J129" s="93"/>
      <c r="K129" s="93"/>
      <c r="L129" s="93"/>
      <c r="M129" s="93"/>
      <c r="N129" s="93"/>
      <c r="O129" s="93"/>
      <c r="P129" s="93"/>
      <c r="Q129" s="93"/>
      <c r="R129" s="93"/>
      <c r="S129" s="93"/>
    </row>
    <row r="130" spans="2:19" x14ac:dyDescent="0.3">
      <c r="B130" s="193" t="s">
        <v>385</v>
      </c>
      <c r="C130" s="94" t="s">
        <v>156</v>
      </c>
      <c r="D130" s="94"/>
      <c r="E130" s="94"/>
      <c r="F130" s="95">
        <v>2813</v>
      </c>
      <c r="G130" s="20"/>
      <c r="H130" s="20"/>
      <c r="I130" s="20"/>
      <c r="J130" s="20"/>
      <c r="K130" s="20"/>
      <c r="L130" s="20"/>
      <c r="M130" s="20"/>
      <c r="N130" s="20"/>
      <c r="O130" s="20"/>
      <c r="P130" s="20"/>
      <c r="Q130" s="20"/>
      <c r="R130" s="20"/>
      <c r="S130" s="20"/>
    </row>
    <row r="131" spans="2:19" x14ac:dyDescent="0.3">
      <c r="B131" s="193"/>
      <c r="C131" s="94" t="s">
        <v>157</v>
      </c>
      <c r="D131" s="94"/>
      <c r="E131" s="94"/>
      <c r="F131" s="95">
        <v>3323</v>
      </c>
      <c r="G131" s="20"/>
      <c r="H131" s="20"/>
      <c r="I131" s="20"/>
      <c r="J131" s="20"/>
      <c r="K131" s="20"/>
      <c r="L131" s="20"/>
      <c r="M131" s="20"/>
      <c r="N131" s="20"/>
      <c r="O131" s="20"/>
      <c r="P131" s="20"/>
      <c r="Q131" s="20"/>
      <c r="R131" s="20"/>
      <c r="S131" s="20"/>
    </row>
    <row r="132" spans="2:19" x14ac:dyDescent="0.3">
      <c r="B132" s="193"/>
      <c r="C132" s="94" t="s">
        <v>158</v>
      </c>
      <c r="D132" s="94"/>
      <c r="E132" s="94"/>
      <c r="F132" s="95">
        <v>5570</v>
      </c>
      <c r="G132" s="20"/>
      <c r="H132" s="20"/>
      <c r="I132" s="20"/>
      <c r="J132" s="20"/>
      <c r="K132" s="20"/>
      <c r="L132" s="20"/>
      <c r="M132" s="20"/>
      <c r="N132" s="20"/>
      <c r="O132" s="20"/>
      <c r="P132" s="20"/>
      <c r="Q132" s="20"/>
      <c r="R132" s="20"/>
      <c r="S132" s="20"/>
    </row>
    <row r="133" spans="2:19" x14ac:dyDescent="0.3">
      <c r="B133" s="193"/>
      <c r="C133" s="94" t="s">
        <v>159</v>
      </c>
      <c r="D133" s="94"/>
      <c r="E133" s="94"/>
      <c r="F133" s="95">
        <v>11028</v>
      </c>
      <c r="G133" s="20"/>
      <c r="H133" s="20"/>
      <c r="I133" s="20"/>
      <c r="J133" s="20"/>
      <c r="K133" s="20"/>
      <c r="L133" s="20"/>
      <c r="M133" s="20"/>
      <c r="N133" s="20"/>
      <c r="O133" s="20"/>
      <c r="P133" s="20"/>
      <c r="Q133" s="20"/>
      <c r="R133" s="20"/>
      <c r="S133" s="20"/>
    </row>
    <row r="134" spans="2:19" x14ac:dyDescent="0.3">
      <c r="B134" s="193"/>
      <c r="C134" s="94" t="s">
        <v>160</v>
      </c>
      <c r="D134" s="94"/>
      <c r="E134" s="94"/>
      <c r="F134" s="95">
        <v>14336</v>
      </c>
      <c r="G134" s="20"/>
      <c r="H134" s="20"/>
      <c r="I134" s="20"/>
      <c r="J134" s="20"/>
      <c r="K134" s="20"/>
      <c r="L134" s="20"/>
      <c r="M134" s="20"/>
      <c r="N134" s="20"/>
      <c r="O134" s="20"/>
      <c r="P134" s="20"/>
      <c r="Q134" s="20"/>
      <c r="R134" s="20"/>
      <c r="S134" s="20"/>
    </row>
    <row r="135" spans="2:19" x14ac:dyDescent="0.3">
      <c r="B135" s="193"/>
      <c r="C135" s="94" t="s">
        <v>441</v>
      </c>
      <c r="D135" s="94"/>
      <c r="E135" s="94"/>
      <c r="F135" s="95">
        <v>18636</v>
      </c>
      <c r="G135" s="20"/>
      <c r="H135" s="20"/>
      <c r="I135" s="20"/>
      <c r="J135" s="20"/>
      <c r="K135" s="20"/>
      <c r="L135" s="20"/>
      <c r="M135" s="20"/>
      <c r="N135" s="20"/>
      <c r="O135" s="20"/>
      <c r="P135" s="20"/>
      <c r="Q135" s="20"/>
      <c r="R135" s="20"/>
      <c r="S135" s="20"/>
    </row>
    <row r="136" spans="2:19" x14ac:dyDescent="0.3">
      <c r="B136" s="193"/>
      <c r="C136" s="94" t="s">
        <v>156</v>
      </c>
      <c r="D136" s="94"/>
      <c r="E136" s="94"/>
      <c r="F136" s="95">
        <v>2813</v>
      </c>
      <c r="G136" s="20"/>
      <c r="H136" s="20"/>
      <c r="I136" s="20"/>
      <c r="J136" s="20"/>
      <c r="K136" s="20"/>
      <c r="L136" s="20"/>
      <c r="M136" s="20"/>
      <c r="N136" s="20"/>
      <c r="O136" s="20"/>
      <c r="P136" s="20"/>
      <c r="Q136" s="20"/>
      <c r="R136" s="20"/>
      <c r="S136" s="20"/>
    </row>
    <row r="137" spans="2:19" x14ac:dyDescent="0.3">
      <c r="B137" s="193"/>
      <c r="C137" s="94" t="s">
        <v>157</v>
      </c>
      <c r="D137" s="94"/>
      <c r="E137" s="94"/>
      <c r="F137" s="95">
        <v>3323</v>
      </c>
      <c r="G137" s="20"/>
      <c r="H137" s="20"/>
      <c r="I137" s="20"/>
      <c r="J137" s="20"/>
      <c r="K137" s="20"/>
      <c r="L137" s="20"/>
      <c r="M137" s="20"/>
      <c r="N137" s="20"/>
      <c r="O137" s="20"/>
      <c r="P137" s="20"/>
      <c r="Q137" s="20"/>
      <c r="R137" s="20"/>
      <c r="S137" s="20"/>
    </row>
    <row r="138" spans="2:19" x14ac:dyDescent="0.3">
      <c r="B138" s="193"/>
      <c r="C138" s="94" t="s">
        <v>158</v>
      </c>
      <c r="D138" s="94"/>
      <c r="E138" s="94"/>
      <c r="F138" s="95">
        <v>5570</v>
      </c>
      <c r="G138" s="20"/>
      <c r="H138" s="20"/>
      <c r="I138" s="20"/>
      <c r="J138" s="20"/>
      <c r="K138" s="20"/>
      <c r="L138" s="20"/>
      <c r="M138" s="20"/>
      <c r="N138" s="20"/>
      <c r="O138" s="20"/>
      <c r="P138" s="20"/>
      <c r="Q138" s="20"/>
      <c r="R138" s="20"/>
      <c r="S138" s="20"/>
    </row>
    <row r="139" spans="2:19" x14ac:dyDescent="0.3">
      <c r="B139" s="193"/>
      <c r="C139" s="94" t="s">
        <v>159</v>
      </c>
      <c r="D139" s="94"/>
      <c r="E139" s="94"/>
      <c r="F139" s="95">
        <v>11028</v>
      </c>
      <c r="G139" s="20"/>
      <c r="H139" s="20"/>
      <c r="I139" s="20"/>
      <c r="J139" s="20"/>
      <c r="K139" s="20"/>
      <c r="L139" s="20"/>
      <c r="M139" s="20"/>
      <c r="N139" s="20"/>
      <c r="O139" s="20"/>
      <c r="P139" s="20"/>
      <c r="Q139" s="20"/>
      <c r="R139" s="20"/>
      <c r="S139" s="20"/>
    </row>
    <row r="140" spans="2:19" x14ac:dyDescent="0.3">
      <c r="B140" s="193"/>
      <c r="C140" s="94" t="s">
        <v>160</v>
      </c>
      <c r="D140" s="94"/>
      <c r="E140" s="94"/>
      <c r="F140" s="95">
        <v>14336</v>
      </c>
      <c r="G140" s="20"/>
      <c r="H140" s="20"/>
      <c r="I140" s="20"/>
      <c r="J140" s="20"/>
      <c r="K140" s="20"/>
      <c r="L140" s="20"/>
      <c r="M140" s="20"/>
      <c r="N140" s="20"/>
      <c r="O140" s="20"/>
      <c r="P140" s="20"/>
      <c r="Q140" s="20"/>
      <c r="R140" s="20"/>
      <c r="S140" s="20"/>
    </row>
    <row r="141" spans="2:19" x14ac:dyDescent="0.3">
      <c r="B141" s="193"/>
      <c r="C141" s="94" t="s">
        <v>441</v>
      </c>
      <c r="D141" s="94"/>
      <c r="E141" s="94"/>
      <c r="F141" s="95">
        <v>18636</v>
      </c>
      <c r="G141" s="20"/>
      <c r="H141" s="20"/>
      <c r="I141" s="20"/>
      <c r="J141" s="20"/>
      <c r="K141" s="20"/>
      <c r="L141" s="20"/>
      <c r="M141" s="20"/>
      <c r="N141" s="20"/>
      <c r="O141" s="20"/>
      <c r="P141" s="20"/>
      <c r="Q141" s="20"/>
      <c r="R141" s="20"/>
      <c r="S141" s="20"/>
    </row>
    <row r="142" spans="2:19" x14ac:dyDescent="0.3">
      <c r="B142" s="193" t="s">
        <v>443</v>
      </c>
      <c r="C142" s="94" t="s">
        <v>156</v>
      </c>
      <c r="D142" s="94"/>
      <c r="E142" s="94"/>
      <c r="F142" s="95">
        <v>2366</v>
      </c>
      <c r="G142" s="20"/>
      <c r="H142" s="20"/>
      <c r="I142" s="20"/>
      <c r="J142" s="20"/>
      <c r="K142" s="20"/>
      <c r="L142" s="20"/>
      <c r="M142" s="20"/>
      <c r="N142" s="20"/>
      <c r="O142" s="20"/>
      <c r="P142" s="20"/>
      <c r="Q142" s="20"/>
      <c r="R142" s="20"/>
      <c r="S142" s="20"/>
    </row>
    <row r="143" spans="2:19" x14ac:dyDescent="0.3">
      <c r="B143" s="193"/>
      <c r="C143" s="94" t="s">
        <v>157</v>
      </c>
      <c r="D143" s="94"/>
      <c r="E143" s="94"/>
      <c r="F143" s="95">
        <v>2782</v>
      </c>
      <c r="G143" s="20"/>
      <c r="H143" s="20"/>
      <c r="I143" s="20"/>
      <c r="J143" s="20"/>
      <c r="K143" s="20"/>
      <c r="L143" s="20"/>
      <c r="M143" s="20"/>
      <c r="N143" s="20"/>
      <c r="O143" s="20"/>
      <c r="P143" s="20"/>
      <c r="Q143" s="20"/>
      <c r="R143" s="20"/>
      <c r="S143" s="20"/>
    </row>
    <row r="144" spans="2:19" x14ac:dyDescent="0.3">
      <c r="B144" s="193"/>
      <c r="C144" s="94" t="s">
        <v>158</v>
      </c>
      <c r="D144" s="94"/>
      <c r="E144" s="94"/>
      <c r="F144" s="95">
        <v>5030</v>
      </c>
      <c r="G144" s="20"/>
      <c r="H144" s="20"/>
      <c r="I144" s="20"/>
      <c r="J144" s="20"/>
      <c r="K144" s="20"/>
      <c r="L144" s="20"/>
      <c r="M144" s="20"/>
      <c r="N144" s="20"/>
      <c r="O144" s="20"/>
      <c r="P144" s="20"/>
      <c r="Q144" s="20"/>
      <c r="R144" s="20"/>
      <c r="S144" s="20"/>
    </row>
    <row r="145" spans="2:19" x14ac:dyDescent="0.3">
      <c r="B145" s="193"/>
      <c r="C145" s="94" t="s">
        <v>159</v>
      </c>
      <c r="D145" s="94"/>
      <c r="E145" s="94"/>
      <c r="F145" s="95">
        <v>9604</v>
      </c>
      <c r="G145" s="20"/>
      <c r="H145" s="20"/>
      <c r="I145" s="20"/>
      <c r="J145" s="20"/>
      <c r="K145" s="20"/>
      <c r="L145" s="20"/>
      <c r="M145" s="20"/>
      <c r="N145" s="20"/>
      <c r="O145" s="20"/>
      <c r="P145" s="20"/>
      <c r="Q145" s="20"/>
      <c r="R145" s="20"/>
      <c r="S145" s="20"/>
    </row>
    <row r="146" spans="2:19" x14ac:dyDescent="0.3">
      <c r="B146" s="193"/>
      <c r="C146" s="94" t="s">
        <v>160</v>
      </c>
      <c r="D146" s="94"/>
      <c r="E146" s="94"/>
      <c r="F146" s="95">
        <v>12485</v>
      </c>
      <c r="G146" s="20"/>
      <c r="H146" s="20"/>
      <c r="I146" s="20"/>
      <c r="J146" s="20"/>
      <c r="K146" s="20"/>
      <c r="L146" s="20"/>
      <c r="M146" s="20"/>
      <c r="N146" s="20"/>
      <c r="O146" s="20"/>
      <c r="P146" s="20"/>
      <c r="Q146" s="20"/>
      <c r="R146" s="20"/>
      <c r="S146" s="20"/>
    </row>
    <row r="147" spans="2:19" x14ac:dyDescent="0.3">
      <c r="B147" s="193"/>
      <c r="C147" s="94" t="s">
        <v>441</v>
      </c>
      <c r="D147" s="94"/>
      <c r="E147" s="94"/>
      <c r="F147" s="95">
        <v>16231</v>
      </c>
      <c r="G147" s="20"/>
      <c r="H147" s="20"/>
      <c r="I147" s="20"/>
      <c r="J147" s="20"/>
      <c r="K147" s="20"/>
      <c r="L147" s="20"/>
      <c r="M147" s="20"/>
      <c r="N147" s="20"/>
      <c r="O147" s="20"/>
      <c r="P147" s="20"/>
      <c r="Q147" s="20"/>
      <c r="R147" s="20"/>
      <c r="S147" s="20"/>
    </row>
    <row r="148" spans="2:19" x14ac:dyDescent="0.3">
      <c r="B148" s="193"/>
      <c r="C148" s="94" t="s">
        <v>156</v>
      </c>
      <c r="D148" s="94"/>
      <c r="E148" s="94"/>
      <c r="F148" s="95">
        <v>2366</v>
      </c>
      <c r="G148" s="20"/>
      <c r="H148" s="20"/>
      <c r="I148" s="20"/>
      <c r="J148" s="20"/>
      <c r="K148" s="20"/>
      <c r="L148" s="20"/>
      <c r="M148" s="20"/>
      <c r="N148" s="20"/>
      <c r="O148" s="20"/>
      <c r="P148" s="20"/>
      <c r="Q148" s="20"/>
      <c r="R148" s="20"/>
      <c r="S148" s="20"/>
    </row>
    <row r="149" spans="2:19" x14ac:dyDescent="0.3">
      <c r="B149" s="193"/>
      <c r="C149" s="94" t="s">
        <v>157</v>
      </c>
      <c r="D149" s="94"/>
      <c r="E149" s="94"/>
      <c r="F149" s="95">
        <v>2782</v>
      </c>
      <c r="G149" s="20"/>
      <c r="H149" s="20"/>
      <c r="I149" s="20"/>
      <c r="J149" s="20"/>
      <c r="K149" s="20"/>
      <c r="L149" s="20"/>
      <c r="M149" s="20"/>
      <c r="N149" s="20"/>
      <c r="O149" s="20"/>
      <c r="P149" s="20"/>
      <c r="Q149" s="20"/>
      <c r="R149" s="20"/>
      <c r="S149" s="20"/>
    </row>
    <row r="150" spans="2:19" x14ac:dyDescent="0.3">
      <c r="B150" s="193"/>
      <c r="C150" s="94" t="s">
        <v>158</v>
      </c>
      <c r="D150" s="94"/>
      <c r="E150" s="94"/>
      <c r="F150" s="95">
        <v>5030</v>
      </c>
      <c r="G150" s="20"/>
      <c r="H150" s="20"/>
      <c r="I150" s="20"/>
      <c r="J150" s="20"/>
      <c r="K150" s="20"/>
      <c r="L150" s="20"/>
      <c r="M150" s="20"/>
      <c r="N150" s="20"/>
      <c r="O150" s="20"/>
      <c r="P150" s="20"/>
      <c r="Q150" s="20"/>
      <c r="R150" s="20"/>
      <c r="S150" s="20"/>
    </row>
    <row r="151" spans="2:19" x14ac:dyDescent="0.3">
      <c r="B151" s="193"/>
      <c r="C151" s="94" t="s">
        <v>159</v>
      </c>
      <c r="D151" s="94"/>
      <c r="E151" s="94"/>
      <c r="F151" s="95">
        <v>9604</v>
      </c>
      <c r="G151" s="20"/>
      <c r="H151" s="20"/>
      <c r="I151" s="20"/>
      <c r="J151" s="20"/>
      <c r="K151" s="20"/>
      <c r="L151" s="20"/>
      <c r="M151" s="20"/>
      <c r="N151" s="20"/>
      <c r="O151" s="20"/>
      <c r="P151" s="20"/>
      <c r="Q151" s="20"/>
      <c r="R151" s="20"/>
      <c r="S151" s="20"/>
    </row>
    <row r="152" spans="2:19" x14ac:dyDescent="0.3">
      <c r="B152" s="193"/>
      <c r="C152" s="94" t="s">
        <v>160</v>
      </c>
      <c r="D152" s="94"/>
      <c r="E152" s="94"/>
      <c r="F152" s="95">
        <v>12485</v>
      </c>
      <c r="G152" s="20"/>
      <c r="H152" s="20"/>
      <c r="I152" s="20"/>
      <c r="J152" s="20"/>
      <c r="K152" s="20"/>
      <c r="L152" s="20"/>
      <c r="M152" s="20"/>
      <c r="N152" s="20"/>
      <c r="O152" s="20"/>
      <c r="P152" s="20"/>
      <c r="Q152" s="20"/>
      <c r="R152" s="20"/>
      <c r="S152" s="20"/>
    </row>
    <row r="153" spans="2:19" x14ac:dyDescent="0.3">
      <c r="B153" s="193"/>
      <c r="C153" s="94" t="s">
        <v>441</v>
      </c>
      <c r="D153" s="94"/>
      <c r="E153" s="94"/>
      <c r="F153" s="95">
        <v>16231</v>
      </c>
      <c r="G153" s="20"/>
      <c r="H153" s="20"/>
      <c r="I153" s="20"/>
      <c r="J153" s="20"/>
      <c r="K153" s="20"/>
      <c r="L153" s="20"/>
      <c r="M153" s="20"/>
      <c r="N153" s="20"/>
      <c r="O153" s="20"/>
      <c r="P153" s="20"/>
      <c r="Q153" s="20"/>
      <c r="R153" s="20"/>
      <c r="S153" s="20"/>
    </row>
    <row r="154" spans="2:19" x14ac:dyDescent="0.3">
      <c r="B154" s="193" t="s">
        <v>387</v>
      </c>
      <c r="C154" s="94" t="s">
        <v>156</v>
      </c>
      <c r="D154" s="94"/>
      <c r="E154" s="94"/>
      <c r="F154" s="95">
        <v>1775</v>
      </c>
      <c r="G154" s="20"/>
      <c r="H154" s="20"/>
      <c r="I154" s="20"/>
      <c r="J154" s="20"/>
      <c r="K154" s="20"/>
      <c r="L154" s="20"/>
      <c r="M154" s="20"/>
      <c r="N154" s="20"/>
      <c r="O154" s="20"/>
      <c r="P154" s="20"/>
      <c r="Q154" s="20"/>
      <c r="R154" s="20"/>
      <c r="S154" s="20"/>
    </row>
    <row r="155" spans="2:19" x14ac:dyDescent="0.3">
      <c r="B155" s="193"/>
      <c r="C155" s="94" t="s">
        <v>157</v>
      </c>
      <c r="D155" s="94"/>
      <c r="E155" s="94"/>
      <c r="F155" s="95">
        <v>2100</v>
      </c>
      <c r="G155" s="20"/>
      <c r="H155" s="20"/>
      <c r="I155" s="20"/>
      <c r="J155" s="20"/>
      <c r="K155" s="20"/>
      <c r="L155" s="20"/>
      <c r="M155" s="20"/>
      <c r="N155" s="20"/>
      <c r="O155" s="20"/>
      <c r="P155" s="20"/>
      <c r="Q155" s="20"/>
      <c r="R155" s="20"/>
      <c r="S155" s="20"/>
    </row>
    <row r="156" spans="2:19" x14ac:dyDescent="0.3">
      <c r="B156" s="193"/>
      <c r="C156" s="94" t="s">
        <v>158</v>
      </c>
      <c r="D156" s="94"/>
      <c r="E156" s="94"/>
      <c r="F156" s="95">
        <v>4650</v>
      </c>
      <c r="G156" s="20"/>
      <c r="H156" s="20"/>
      <c r="I156" s="20"/>
      <c r="J156" s="20"/>
      <c r="K156" s="20"/>
      <c r="L156" s="20"/>
      <c r="M156" s="20"/>
      <c r="N156" s="20"/>
      <c r="O156" s="20"/>
      <c r="P156" s="20"/>
      <c r="Q156" s="20"/>
      <c r="R156" s="20"/>
      <c r="S156" s="20"/>
    </row>
    <row r="157" spans="2:19" x14ac:dyDescent="0.3">
      <c r="B157" s="193"/>
      <c r="C157" s="94" t="s">
        <v>159</v>
      </c>
      <c r="D157" s="94"/>
      <c r="E157" s="94"/>
      <c r="F157" s="95">
        <v>9077</v>
      </c>
      <c r="G157" s="20"/>
      <c r="H157" s="20"/>
      <c r="I157" s="20"/>
      <c r="J157" s="20"/>
      <c r="K157" s="20"/>
      <c r="L157" s="20"/>
      <c r="M157" s="20"/>
      <c r="N157" s="20"/>
      <c r="O157" s="20"/>
      <c r="P157" s="20"/>
      <c r="Q157" s="20"/>
      <c r="R157" s="20"/>
      <c r="S157" s="20"/>
    </row>
    <row r="158" spans="2:19" x14ac:dyDescent="0.3">
      <c r="B158" s="193"/>
      <c r="C158" s="94" t="s">
        <v>160</v>
      </c>
      <c r="D158" s="94"/>
      <c r="E158" s="94"/>
      <c r="F158" s="95">
        <v>11801</v>
      </c>
      <c r="G158" s="20"/>
      <c r="H158" s="20"/>
      <c r="I158" s="20"/>
      <c r="J158" s="20"/>
      <c r="K158" s="20"/>
      <c r="L158" s="20"/>
      <c r="M158" s="20"/>
      <c r="N158" s="20"/>
      <c r="O158" s="20"/>
      <c r="P158" s="20"/>
      <c r="Q158" s="20"/>
      <c r="R158" s="20"/>
      <c r="S158" s="20"/>
    </row>
    <row r="159" spans="2:19" x14ac:dyDescent="0.3">
      <c r="B159" s="193"/>
      <c r="C159" s="94" t="s">
        <v>441</v>
      </c>
      <c r="D159" s="94"/>
      <c r="E159" s="94"/>
      <c r="F159" s="95">
        <v>15342</v>
      </c>
      <c r="G159" s="20"/>
      <c r="H159" s="20"/>
      <c r="I159" s="20"/>
      <c r="J159" s="20"/>
      <c r="K159" s="20"/>
      <c r="L159" s="20"/>
      <c r="M159" s="20"/>
      <c r="N159" s="20"/>
      <c r="O159" s="20"/>
      <c r="P159" s="20"/>
      <c r="Q159" s="20"/>
      <c r="R159" s="20"/>
      <c r="S159" s="20"/>
    </row>
    <row r="160" spans="2:19" x14ac:dyDescent="0.3">
      <c r="B160" s="193"/>
      <c r="C160" s="94" t="s">
        <v>156</v>
      </c>
      <c r="D160" s="94"/>
      <c r="E160" s="94"/>
      <c r="F160" s="95">
        <v>1775</v>
      </c>
      <c r="G160" s="20"/>
      <c r="H160" s="20"/>
      <c r="I160" s="20"/>
      <c r="J160" s="20"/>
      <c r="K160" s="20"/>
      <c r="L160" s="20"/>
      <c r="M160" s="20"/>
      <c r="N160" s="20"/>
      <c r="O160" s="20"/>
      <c r="P160" s="20"/>
      <c r="Q160" s="20"/>
      <c r="R160" s="20"/>
      <c r="S160" s="20"/>
    </row>
    <row r="161" spans="2:19" x14ac:dyDescent="0.3">
      <c r="B161" s="193"/>
      <c r="C161" s="94" t="s">
        <v>157</v>
      </c>
      <c r="D161" s="94"/>
      <c r="E161" s="94"/>
      <c r="F161" s="95">
        <v>2100</v>
      </c>
      <c r="G161" s="20"/>
      <c r="H161" s="20"/>
      <c r="I161" s="20"/>
      <c r="J161" s="20"/>
      <c r="K161" s="20"/>
      <c r="L161" s="20"/>
      <c r="M161" s="20"/>
      <c r="N161" s="20"/>
      <c r="O161" s="20"/>
      <c r="P161" s="20"/>
      <c r="Q161" s="20"/>
      <c r="R161" s="20"/>
      <c r="S161" s="20"/>
    </row>
    <row r="162" spans="2:19" x14ac:dyDescent="0.3">
      <c r="B162" s="193"/>
      <c r="C162" s="94" t="s">
        <v>158</v>
      </c>
      <c r="D162" s="94"/>
      <c r="E162" s="94"/>
      <c r="F162" s="95">
        <v>4650</v>
      </c>
      <c r="G162" s="20"/>
      <c r="H162" s="20"/>
      <c r="I162" s="20"/>
      <c r="J162" s="20"/>
      <c r="K162" s="20"/>
      <c r="L162" s="20"/>
      <c r="M162" s="20"/>
      <c r="N162" s="20"/>
      <c r="O162" s="20"/>
      <c r="P162" s="20"/>
      <c r="Q162" s="20"/>
      <c r="R162" s="20"/>
      <c r="S162" s="20"/>
    </row>
    <row r="163" spans="2:19" x14ac:dyDescent="0.3">
      <c r="B163" s="193"/>
      <c r="C163" s="94" t="s">
        <v>159</v>
      </c>
      <c r="D163" s="94"/>
      <c r="E163" s="94"/>
      <c r="F163" s="95">
        <v>9077</v>
      </c>
      <c r="G163" s="20"/>
      <c r="H163" s="20"/>
      <c r="I163" s="20"/>
      <c r="J163" s="20"/>
      <c r="K163" s="20"/>
      <c r="L163" s="20"/>
      <c r="M163" s="20"/>
      <c r="N163" s="20"/>
      <c r="O163" s="20"/>
      <c r="P163" s="20"/>
      <c r="Q163" s="20"/>
      <c r="R163" s="20"/>
      <c r="S163" s="20"/>
    </row>
    <row r="164" spans="2:19" x14ac:dyDescent="0.3">
      <c r="B164" s="193"/>
      <c r="C164" s="94" t="s">
        <v>160</v>
      </c>
      <c r="D164" s="94"/>
      <c r="E164" s="94"/>
      <c r="F164" s="95">
        <v>11801</v>
      </c>
      <c r="G164" s="20"/>
      <c r="H164" s="20"/>
      <c r="I164" s="20"/>
      <c r="J164" s="20"/>
      <c r="K164" s="20"/>
      <c r="L164" s="20"/>
      <c r="M164" s="20"/>
      <c r="N164" s="20"/>
      <c r="O164" s="20"/>
      <c r="P164" s="20"/>
      <c r="Q164" s="20"/>
      <c r="R164" s="20"/>
      <c r="S164" s="20"/>
    </row>
    <row r="165" spans="2:19" x14ac:dyDescent="0.3">
      <c r="B165" s="193"/>
      <c r="C165" s="94" t="s">
        <v>441</v>
      </c>
      <c r="D165" s="94"/>
      <c r="E165" s="94"/>
      <c r="F165" s="95">
        <v>15342</v>
      </c>
      <c r="G165" s="20"/>
      <c r="H165" s="20"/>
      <c r="I165" s="20"/>
      <c r="J165" s="20"/>
      <c r="K165" s="20"/>
      <c r="L165" s="20"/>
      <c r="M165" s="20"/>
      <c r="N165" s="20"/>
      <c r="O165" s="20"/>
      <c r="P165" s="20"/>
      <c r="Q165" s="20"/>
      <c r="R165" s="20"/>
      <c r="S165" s="20"/>
    </row>
  </sheetData>
  <mergeCells count="6">
    <mergeCell ref="B154:B165"/>
    <mergeCell ref="B94:B105"/>
    <mergeCell ref="B106:B117"/>
    <mergeCell ref="B118:B129"/>
    <mergeCell ref="B130:B141"/>
    <mergeCell ref="B142:B153"/>
  </mergeCells>
  <pageMargins left="0.7" right="0.7" top="0.75" bottom="0.75" header="0.3" footer="0.3"/>
  <headerFooter>
    <oddFooter>&amp;L_x000D_&amp;1#&amp;"Calibri"&amp;10&amp;K000000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Premium working</vt:lpstr>
      <vt:lpstr>Census List</vt:lpstr>
      <vt:lpstr>Age Band</vt:lpstr>
      <vt:lpstr>TOB </vt:lpstr>
      <vt:lpstr>HDF Review</vt:lpstr>
      <vt:lpstr>Exclusions </vt:lpstr>
      <vt:lpstr>TOB IN PUT</vt:lpstr>
      <vt:lpstr>Not Used</vt:lpstr>
      <vt:lpstr>'Exclusions '!_Hlk80188971</vt:lpstr>
      <vt:lpstr>'Exclusions '!_Hlk81725290</vt:lpstr>
      <vt:lpstr>'Census List'!Print_Area</vt:lpstr>
      <vt:lpstr>'TOB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2026-01-02T07:16:20Z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d2541c-ede2-497f-b1f7-cf10be3275a7_Enabled">
    <vt:lpwstr>true</vt:lpwstr>
  </property>
  <property fmtid="{D5CDD505-2E9C-101B-9397-08002B2CF9AE}" pid="3" name="MSIP_Label_08d2541c-ede2-497f-b1f7-cf10be3275a7_SetDate">
    <vt:lpwstr>2022-05-09T09:59:35Z</vt:lpwstr>
  </property>
  <property fmtid="{D5CDD505-2E9C-101B-9397-08002B2CF9AE}" pid="4" name="MSIP_Label_08d2541c-ede2-497f-b1f7-cf10be3275a7_Method">
    <vt:lpwstr>Privileged</vt:lpwstr>
  </property>
  <property fmtid="{D5CDD505-2E9C-101B-9397-08002B2CF9AE}" pid="5" name="MSIP_Label_08d2541c-ede2-497f-b1f7-cf10be3275a7_Name">
    <vt:lpwstr>Public</vt:lpwstr>
  </property>
  <property fmtid="{D5CDD505-2E9C-101B-9397-08002B2CF9AE}" pid="6" name="MSIP_Label_08d2541c-ede2-497f-b1f7-cf10be3275a7_SiteId">
    <vt:lpwstr>23ff258e-8424-47c3-889f-c17bef1a77a0</vt:lpwstr>
  </property>
  <property fmtid="{D5CDD505-2E9C-101B-9397-08002B2CF9AE}" pid="7" name="MSIP_Label_08d2541c-ede2-497f-b1f7-cf10be3275a7_ActionId">
    <vt:lpwstr>126e2a99-8fc0-4d4a-9164-b396bea96031</vt:lpwstr>
  </property>
  <property fmtid="{D5CDD505-2E9C-101B-9397-08002B2CF9AE}" pid="8" name="MSIP_Label_08d2541c-ede2-497f-b1f7-cf10be3275a7_ContentBits">
    <vt:lpwstr>2</vt:lpwstr>
  </property>
</Properties>
</file>